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<sst xmlns="http://schemas.openxmlformats.org/spreadsheetml/2006/main" count="41" uniqueCount="38">
  <si>
    <t>top goals</t>
  </si>
  <si>
    <t>-habbit tracker-</t>
  </si>
  <si>
    <t>completed</t>
  </si>
  <si>
    <t>left to complete</t>
  </si>
  <si>
    <t>ACHIEVEMENTS</t>
  </si>
  <si>
    <t>daily progress</t>
  </si>
  <si>
    <t>your goal</t>
  </si>
  <si>
    <t>weekly progress</t>
  </si>
  <si>
    <t>habits</t>
  </si>
  <si>
    <t>GOALS</t>
  </si>
  <si>
    <t>progress</t>
  </si>
  <si>
    <t>sleep early</t>
  </si>
  <si>
    <t xml:space="preserve">wakeup early </t>
  </si>
  <si>
    <t>excercise</t>
  </si>
  <si>
    <t>drink water</t>
  </si>
  <si>
    <t>breakdfast</t>
  </si>
  <si>
    <t>bathing</t>
  </si>
  <si>
    <t xml:space="preserve">habbit tracker </t>
  </si>
  <si>
    <t xml:space="preserve">  habits</t>
  </si>
  <si>
    <t>goals</t>
  </si>
  <si>
    <t>week1</t>
  </si>
  <si>
    <t>week2</t>
  </si>
  <si>
    <t>week3</t>
  </si>
  <si>
    <t>week4</t>
  </si>
  <si>
    <t xml:space="preserve">extra </t>
  </si>
  <si>
    <t>j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</si>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</sst>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&quot;mmmm&quot; &quot;yyyy"/>
  </numFmts>
  <fonts count="22">
    <font>
      <sz val="11.0"/>
      <color theme="1"/>
      <name val="Calibri"/>
      <scheme val="minor"/>
    </font>
    <font>
      <sz val="11.0"/>
      <color rgb="FF000000"/>
      <name val="Calibri"/>
    </font>
    <font>
      <b/>
      <sz val="22.0"/>
      <color rgb="FF000000"/>
      <name val="Calibri"/>
    </font>
    <font/>
    <font>
      <b/>
      <sz val="23.0"/>
      <color rgb="FF000000"/>
      <name val="Calibri"/>
    </font>
    <font>
      <sz val="15.0"/>
      <color rgb="FF000000"/>
      <name val="Calibri"/>
    </font>
    <font>
      <sz val="16.0"/>
      <color rgb="FF000000"/>
      <name val="Calibri"/>
    </font>
    <font>
      <sz val="18.0"/>
      <color rgb="FF000000"/>
      <name val="Calibri"/>
    </font>
    <font>
      <sz val="22.0"/>
      <color rgb="FF000000"/>
      <name val="Calibri"/>
    </font>
    <font>
      <b/>
      <sz val="18.0"/>
      <color rgb="FF000000"/>
      <name val="Calibri"/>
    </font>
    <font>
      <b/>
      <sz val="17.0"/>
      <color rgb="FF000000"/>
      <name val="Calibri"/>
    </font>
    <font>
      <color theme="1"/>
      <name val="Calibri"/>
      <scheme val="minor"/>
    </font>
    <font>
      <sz val="12.0"/>
      <color rgb="FF000000"/>
      <name val="Calibri"/>
    </font>
    <font>
      <b/>
      <sz val="17.0"/>
      <color rgb="FF000000"/>
      <name val="Arial"/>
    </font>
    <font>
      <b/>
      <sz val="11.0"/>
      <color rgb="FF000000"/>
      <name val="Arial"/>
    </font>
    <font>
      <sz val="30.0"/>
      <color rgb="FF000000"/>
      <name val="Calibri"/>
    </font>
    <font>
      <sz val="10.0"/>
      <color theme="1"/>
      <name val="Overlock"/>
    </font>
    <font>
      <sz val="14.0"/>
      <color theme="1"/>
      <name val="Overlock"/>
    </font>
    <font>
      <sz val="12.0"/>
      <color theme="1"/>
      <name val="Overlock"/>
    </font>
    <font>
      <sz val="16.0"/>
      <color theme="1"/>
      <name val="Overlock"/>
    </font>
    <font>
      <sz val="18.0"/>
      <color theme="1"/>
      <name val="Overlock"/>
    </font>
    <font>
      <sz val="11.0"/>
      <color theme="1"/>
      <name val="Overlock"/>
    </font>
  </fonts>
  <fills count="17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A9D08E"/>
        <bgColor rgb="FFA9D08E"/>
      </patternFill>
    </fill>
    <fill>
      <patternFill patternType="solid">
        <fgColor rgb="FFA4C48E"/>
        <bgColor rgb="FFA4C48E"/>
      </patternFill>
    </fill>
    <fill>
      <patternFill patternType="solid">
        <fgColor rgb="FFC6E0B4"/>
        <bgColor rgb="FFC6E0B4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69B663"/>
        <bgColor rgb="FF69B663"/>
      </patternFill>
    </fill>
    <fill>
      <patternFill patternType="solid">
        <fgColor rgb="FF548235"/>
        <bgColor rgb="FF548235"/>
      </patternFill>
    </fill>
    <fill>
      <patternFill patternType="solid">
        <fgColor rgb="FF74BF54"/>
        <bgColor rgb="FF74BF54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71AF47"/>
        <bgColor rgb="FF71AF47"/>
      </patternFill>
    </fill>
    <fill>
      <patternFill patternType="solid">
        <fgColor rgb="FF548135"/>
        <bgColor rgb="FF548135"/>
      </patternFill>
    </fill>
    <fill>
      <patternFill patternType="solid">
        <fgColor rgb="FF385623"/>
        <bgColor rgb="FF385623"/>
      </patternFill>
    </fill>
  </fills>
  <borders count="7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/>
      <top style="thin">
        <color theme="1"/>
      </top>
      <bottom style="thin">
        <color theme="1"/>
      </bottom>
    </border>
    <border>
      <left style="thin">
        <color theme="1"/>
      </left>
    </border>
    <border>
      <left style="thin">
        <color theme="1"/>
      </left>
      <right style="thin">
        <color theme="0"/>
      </right>
      <top style="thin">
        <color theme="1"/>
      </top>
      <bottom/>
    </border>
    <border>
      <left/>
      <right/>
      <top style="thin">
        <color theme="1"/>
      </top>
      <bottom/>
    </border>
    <border>
      <left style="thin">
        <color theme="0"/>
      </left>
      <right/>
      <top style="thin">
        <color theme="1"/>
      </top>
      <bottom/>
    </border>
    <border>
      <left style="thin">
        <color theme="1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1"/>
      </right>
      <top/>
      <bottom/>
    </border>
    <border>
      <left/>
      <right style="thin">
        <color theme="0"/>
      </right>
      <top/>
      <bottom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</border>
    <border>
      <left style="thin">
        <color rgb="FF000000"/>
      </left>
      <right style="thin">
        <color theme="1"/>
      </right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1"/>
      </right>
      <top/>
      <bottom style="thin">
        <color theme="0"/>
      </bottom>
    </border>
    <border>
      <left style="thin">
        <color theme="1"/>
      </left>
      <right style="thin">
        <color theme="0"/>
      </right>
      <top style="thin">
        <color theme="0"/>
      </top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/>
      <right style="thin">
        <color theme="0"/>
      </right>
      <top style="thin">
        <color theme="0"/>
      </top>
      <bottom/>
    </border>
    <border>
      <left/>
      <right style="thin">
        <color theme="1"/>
      </right>
      <top/>
      <bottom/>
    </border>
    <border>
      <left style="thin">
        <color theme="0"/>
      </left>
      <right/>
      <top style="thin">
        <color theme="0"/>
      </top>
      <bottom/>
    </border>
    <border>
      <left/>
      <right style="thin">
        <color theme="1"/>
      </right>
      <top style="thin">
        <color theme="0"/>
      </top>
      <bottom/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1"/>
      </right>
      <top style="thin">
        <color theme="0"/>
      </top>
      <bottom style="thin">
        <color theme="0"/>
      </bottom>
    </border>
    <border>
      <left style="thin">
        <color theme="0"/>
      </left>
      <right/>
      <top/>
      <bottom/>
    </border>
    <border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1"/>
      </bottom>
    </border>
    <border>
      <left/>
      <right/>
      <top style="thin">
        <color theme="0"/>
      </top>
      <bottom style="thin">
        <color theme="1"/>
      </bottom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</border>
    <border>
      <left/>
      <right style="thin">
        <color theme="1"/>
      </right>
      <top style="thin">
        <color theme="0"/>
      </top>
      <bottom style="thin">
        <color theme="1"/>
      </bottom>
    </border>
    <border>
      <left style="thin">
        <color theme="0"/>
      </left>
      <right/>
      <top style="thin">
        <color theme="0"/>
      </top>
      <bottom style="thin">
        <color theme="1"/>
      </bottom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</border>
    <border>
      <right style="thin">
        <color theme="0"/>
      </right>
    </border>
    <border>
      <left style="thin">
        <color theme="0"/>
      </left>
      <right style="thin">
        <color theme="0"/>
      </right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theme="0"/>
      </left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1" fillId="3" fontId="2" numFmtId="164" xfId="0" applyAlignment="1" applyBorder="1" applyFill="1" applyFont="1" applyNumberFormat="1">
      <alignment horizontal="center" readingOrder="0" shrinkToFit="0" vertical="center" wrapText="0"/>
    </xf>
    <xf borderId="2" fillId="0" fontId="3" numFmtId="0" xfId="0" applyBorder="1" applyFont="1"/>
    <xf borderId="3" fillId="4" fontId="4" numFmtId="0" xfId="0" applyAlignment="1" applyBorder="1" applyFill="1" applyFont="1">
      <alignment horizontal="center" readingOrder="0" shrinkToFit="0" vertical="center" wrapText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5" numFmtId="0" xfId="0" applyAlignment="1" applyBorder="1" applyFont="1">
      <alignment horizontal="center" readingOrder="0" shrinkToFit="0" vertical="center" wrapText="0"/>
    </xf>
    <xf borderId="12" fillId="0" fontId="3" numFmtId="0" xfId="0" applyBorder="1" applyFont="1"/>
    <xf borderId="13" fillId="2" fontId="1" numFmtId="0" xfId="0" applyAlignment="1" applyBorder="1" applyFont="1">
      <alignment shrinkToFit="0" vertical="bottom" wrapText="0"/>
    </xf>
    <xf borderId="14" fillId="0" fontId="3" numFmtId="0" xfId="0" applyBorder="1" applyFont="1"/>
    <xf borderId="11" fillId="3" fontId="6" numFmtId="0" xfId="0" applyAlignment="1" applyBorder="1" applyFont="1">
      <alignment horizontal="center" readingOrder="0" shrinkToFit="0" vertical="center" wrapText="0"/>
    </xf>
    <xf borderId="1" fillId="5" fontId="7" numFmtId="0" xfId="0" applyAlignment="1" applyBorder="1" applyFill="1" applyFont="1">
      <alignment horizontal="center" readingOrder="0" shrinkToFit="0" vertical="center" wrapText="0"/>
    </xf>
    <xf borderId="1" fillId="5" fontId="8" numFmtId="0" xfId="0" applyAlignment="1" applyBorder="1" applyFont="1">
      <alignment horizontal="center" shrinkToFit="0" vertical="center" wrapText="0"/>
    </xf>
    <xf borderId="8" fillId="2" fontId="1" numFmtId="0" xfId="0" applyAlignment="1" applyBorder="1" applyFont="1">
      <alignment shrinkToFit="0" vertical="bottom" wrapText="0"/>
    </xf>
    <xf borderId="15" fillId="5" fontId="1" numFmtId="9" xfId="0" applyAlignment="1" applyBorder="1" applyFont="1" applyNumberFormat="1">
      <alignment horizontal="center" readingOrder="0" shrinkToFit="0" vertical="center" wrapText="0"/>
    </xf>
    <xf borderId="3" fillId="4" fontId="9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bottom" wrapText="0"/>
    </xf>
    <xf borderId="16" fillId="0" fontId="3" numFmtId="0" xfId="0" applyBorder="1" applyFont="1"/>
    <xf borderId="1" fillId="2" fontId="11" numFmtId="0" xfId="0" applyBorder="1" applyFont="1"/>
    <xf borderId="0" fillId="2" fontId="11" numFmtId="0" xfId="0" applyFont="1"/>
    <xf borderId="17" fillId="0" fontId="3" numFmtId="0" xfId="0" applyBorder="1" applyFont="1"/>
    <xf borderId="18" fillId="0" fontId="3" numFmtId="0" xfId="0" applyBorder="1" applyFont="1"/>
    <xf borderId="0" fillId="2" fontId="1" numFmtId="0" xfId="0" applyAlignment="1" applyFont="1">
      <alignment horizontal="right" shrinkToFit="0" vertical="bottom" wrapText="0"/>
    </xf>
    <xf borderId="19" fillId="0" fontId="3" numFmtId="0" xfId="0" applyBorder="1" applyFont="1"/>
    <xf borderId="11" fillId="3" fontId="10" numFmtId="0" xfId="0" applyAlignment="1" applyBorder="1" applyFont="1">
      <alignment horizontal="center" readingOrder="0" shrinkToFit="0" vertical="center" wrapText="0"/>
    </xf>
    <xf borderId="15" fillId="2" fontId="1" numFmtId="0" xfId="0" applyAlignment="1" applyBorder="1" applyFont="1">
      <alignment horizontal="center" readingOrder="0"/>
    </xf>
    <xf borderId="15" fillId="2" fontId="1" numFmtId="0" xfId="0" applyAlignment="1" applyBorder="1" applyFont="1">
      <alignment horizontal="center" readingOrder="0" shrinkToFit="0" wrapText="0"/>
    </xf>
    <xf borderId="0" fillId="2" fontId="12" numFmtId="0" xfId="0" applyAlignment="1" applyFont="1">
      <alignment horizontal="right" shrinkToFit="0" vertical="bottom" wrapText="0"/>
    </xf>
    <xf borderId="11" fillId="6" fontId="1" numFmtId="0" xfId="0" applyAlignment="1" applyBorder="1" applyFill="1" applyFont="1">
      <alignment horizontal="center" readingOrder="0" shrinkToFit="0" vertical="bottom" wrapText="0"/>
    </xf>
    <xf borderId="20" fillId="0" fontId="3" numFmtId="0" xfId="0" applyBorder="1" applyFont="1"/>
    <xf borderId="11" fillId="7" fontId="1" numFmtId="0" xfId="0" applyAlignment="1" applyBorder="1" applyFill="1" applyFont="1">
      <alignment horizontal="center" readingOrder="0" shrinkToFit="0" vertical="bottom" wrapText="0"/>
    </xf>
    <xf borderId="11" fillId="8" fontId="1" numFmtId="0" xfId="0" applyAlignment="1" applyBorder="1" applyFill="1" applyFont="1">
      <alignment horizontal="center" readingOrder="0" shrinkToFit="0" vertical="bottom" wrapText="0"/>
    </xf>
    <xf borderId="11" fillId="9" fontId="1" numFmtId="0" xfId="0" applyAlignment="1" applyBorder="1" applyFill="1" applyFont="1">
      <alignment horizontal="center" readingOrder="0" shrinkToFit="0" vertical="bottom" wrapText="0"/>
    </xf>
    <xf borderId="11" fillId="10" fontId="1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1" fillId="3" fontId="10" numFmtId="0" xfId="0" applyAlignment="1" applyBorder="1" applyFont="1">
      <alignment horizontal="center" readingOrder="0" shrinkToFit="0" vertical="center" wrapText="0"/>
    </xf>
    <xf borderId="11" fillId="6" fontId="1" numFmtId="9" xfId="0" applyAlignment="1" applyBorder="1" applyFont="1" applyNumberFormat="1">
      <alignment horizontal="center" readingOrder="0" shrinkToFit="0" vertical="bottom" wrapText="0"/>
    </xf>
    <xf borderId="11" fillId="7" fontId="1" numFmtId="9" xfId="0" applyAlignment="1" applyBorder="1" applyFont="1" applyNumberFormat="1">
      <alignment horizontal="center" readingOrder="0" shrinkToFit="0" vertical="bottom" wrapText="0"/>
    </xf>
    <xf borderId="11" fillId="8" fontId="1" numFmtId="9" xfId="0" applyAlignment="1" applyBorder="1" applyFont="1" applyNumberFormat="1">
      <alignment horizontal="center" readingOrder="0" shrinkToFit="0" vertical="bottom" wrapText="0"/>
    </xf>
    <xf borderId="11" fillId="9" fontId="1" numFmtId="9" xfId="0" applyAlignment="1" applyBorder="1" applyFont="1" applyNumberFormat="1">
      <alignment horizontal="center" readingOrder="0" shrinkToFit="0" vertical="bottom" wrapText="0"/>
    </xf>
    <xf borderId="11" fillId="10" fontId="1" numFmtId="9" xfId="0" applyAlignment="1" applyBorder="1" applyFont="1" applyNumberFormat="1">
      <alignment horizontal="center" readingOrder="0" shrinkToFit="0" vertical="bottom" wrapText="0"/>
    </xf>
    <xf borderId="0" fillId="2" fontId="1" numFmtId="9" xfId="0" applyAlignment="1" applyFont="1" applyNumberFormat="1">
      <alignment horizontal="center"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1" fillId="2" fontId="11" numFmtId="0" xfId="0" applyBorder="1" applyFont="1"/>
    <xf borderId="0" fillId="2" fontId="1" numFmtId="0" xfId="0" applyAlignment="1" applyFont="1">
      <alignment horizontal="center" shrinkToFit="0" vertical="center" wrapText="0"/>
    </xf>
    <xf borderId="21" fillId="11" fontId="13" numFmtId="0" xfId="0" applyAlignment="1" applyBorder="1" applyFill="1" applyFont="1">
      <alignment horizontal="center" readingOrder="0" shrinkToFit="0" vertical="center" wrapText="0"/>
    </xf>
    <xf borderId="21" fillId="11" fontId="14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shrinkToFit="0" vertical="bottom" wrapText="0"/>
    </xf>
    <xf borderId="1" fillId="7" fontId="1" numFmtId="0" xfId="0" applyAlignment="1" applyBorder="1" applyFont="1">
      <alignment horizontal="center" shrinkToFit="0" vertical="bottom" wrapText="0"/>
    </xf>
    <xf borderId="16" fillId="8" fontId="1" numFmtId="0" xfId="0" applyAlignment="1" applyBorder="1" applyFont="1">
      <alignment horizontal="center" shrinkToFit="0" vertical="bottom" wrapText="0"/>
    </xf>
    <xf borderId="1" fillId="9" fontId="1" numFmtId="0" xfId="0" applyAlignment="1" applyBorder="1" applyFont="1">
      <alignment horizontal="center" shrinkToFit="0" vertical="bottom" wrapText="0"/>
    </xf>
    <xf borderId="1" fillId="10" fontId="1" numFmtId="0" xfId="0" applyAlignment="1" applyBorder="1" applyFont="1">
      <alignment horizontal="center" shrinkToFit="0" vertical="bottom" wrapText="0"/>
    </xf>
    <xf borderId="1" fillId="9" fontId="15" numFmtId="0" xfId="0" applyAlignment="1" applyBorder="1" applyFont="1">
      <alignment horizontal="center" readingOrder="0" shrinkToFit="0" vertical="center" wrapText="0"/>
    </xf>
    <xf borderId="22" fillId="0" fontId="3" numFmtId="0" xfId="0" applyBorder="1" applyFont="1"/>
    <xf borderId="1" fillId="6" fontId="1" numFmtId="0" xfId="0" applyAlignment="1" applyBorder="1" applyFont="1">
      <alignment horizontal="center" readingOrder="0" shrinkToFit="0" wrapText="0"/>
    </xf>
    <xf borderId="23" fillId="0" fontId="3" numFmtId="0" xfId="0" applyBorder="1" applyFont="1"/>
    <xf borderId="11" fillId="6" fontId="1" numFmtId="0" xfId="0" applyAlignment="1" applyBorder="1" applyFont="1">
      <alignment horizontal="center" readingOrder="0" shrinkToFit="0" wrapText="0"/>
    </xf>
    <xf borderId="17" fillId="5" fontId="5" numFmtId="0" xfId="0" applyAlignment="1" applyBorder="1" applyFont="1">
      <alignment horizontal="center" readingOrder="0" shrinkToFit="0" vertical="center" wrapText="0"/>
    </xf>
    <xf borderId="22" fillId="5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bottom" wrapText="0"/>
    </xf>
    <xf borderId="17" fillId="6" fontId="1" numFmtId="0" xfId="0" applyAlignment="1" applyBorder="1" applyFont="1">
      <alignment horizontal="center" readingOrder="0" shrinkToFit="0" vertical="bottom" wrapText="0"/>
    </xf>
    <xf borderId="17" fillId="2" fontId="1" numFmtId="0" xfId="0" applyAlignment="1" applyBorder="1" applyFont="1">
      <alignment horizontal="center" readingOrder="0" shrinkToFit="0" vertical="bottom" wrapText="0"/>
    </xf>
    <xf borderId="11" fillId="5" fontId="1" numFmtId="0" xfId="0" applyAlignment="1" applyBorder="1" applyFont="1">
      <alignment horizontal="center" readingOrder="0" shrinkToFit="0" vertical="bottom" wrapText="0"/>
    </xf>
    <xf borderId="15" fillId="5" fontId="1" numFmtId="9" xfId="0" applyAlignment="1" applyBorder="1" applyFont="1" applyNumberFormat="1">
      <alignment horizontal="center" readingOrder="0" shrinkToFit="0" vertical="bottom" wrapText="0"/>
    </xf>
    <xf borderId="12" fillId="5" fontId="1" numFmtId="0" xfId="0" applyAlignment="1" applyBorder="1" applyFont="1">
      <alignment horizontal="center" readingOrder="0" shrinkToFit="0" vertical="bottom" wrapText="0"/>
    </xf>
    <xf borderId="17" fillId="7" fontId="1" numFmtId="0" xfId="0" applyAlignment="1" applyBorder="1" applyFont="1">
      <alignment horizontal="center" readingOrder="0" shrinkToFit="0" vertical="bottom" wrapText="0"/>
    </xf>
    <xf borderId="17" fillId="8" fontId="1" numFmtId="0" xfId="0" applyAlignment="1" applyBorder="1" applyFont="1">
      <alignment horizontal="center" readingOrder="0" shrinkToFit="0" vertical="bottom" wrapText="0"/>
    </xf>
    <xf borderId="17" fillId="9" fontId="1" numFmtId="0" xfId="0" applyAlignment="1" applyBorder="1" applyFont="1">
      <alignment horizontal="center" readingOrder="0" shrinkToFit="0" vertical="bottom" wrapText="0"/>
    </xf>
    <xf borderId="17" fillId="10" fontId="1" numFmtId="0" xfId="0" applyAlignment="1" applyBorder="1" applyFont="1">
      <alignment horizontal="center" readingOrder="0" shrinkToFit="0" vertical="bottom" wrapText="0"/>
    </xf>
    <xf borderId="22" fillId="5" fontId="1" numFmtId="0" xfId="0" applyAlignment="1" applyBorder="1" applyFont="1">
      <alignment readingOrder="0" shrinkToFit="0" vertical="bottom" wrapText="0"/>
    </xf>
    <xf borderId="15" fillId="5" fontId="1" numFmtId="0" xfId="0" applyAlignment="1" applyBorder="1" applyFont="1">
      <alignment horizontal="center" readingOrder="0" shrinkToFit="0" vertical="bottom" wrapText="0"/>
    </xf>
    <xf borderId="19" fillId="5" fontId="1" numFmtId="9" xfId="0" applyAlignment="1" applyBorder="1" applyFont="1" applyNumberFormat="1">
      <alignment horizontal="center" readingOrder="0" shrinkToFit="0" vertical="bottom" wrapText="0"/>
    </xf>
    <xf borderId="15" fillId="5" fontId="1" numFmtId="0" xfId="0" applyAlignment="1" applyBorder="1" applyFont="1">
      <alignment shrinkToFit="0" vertical="bottom" wrapText="0"/>
    </xf>
    <xf borderId="20" fillId="5" fontId="1" numFmtId="9" xfId="0" applyAlignment="1" applyBorder="1" applyFont="1" applyNumberFormat="1">
      <alignment horizontal="center" readingOrder="0" shrinkToFit="0" vertical="bottom" wrapText="0"/>
    </xf>
    <xf borderId="24" fillId="5" fontId="5" numFmtId="0" xfId="0" applyAlignment="1" applyBorder="1" applyFont="1">
      <alignment horizontal="center" readingOrder="0" shrinkToFit="0" vertical="center" wrapText="0"/>
    </xf>
    <xf borderId="24" fillId="6" fontId="1" numFmtId="0" xfId="0" applyAlignment="1" applyBorder="1" applyFont="1">
      <alignment horizontal="center" readingOrder="0" shrinkToFit="0" vertical="bottom" wrapText="0"/>
    </xf>
    <xf borderId="24" fillId="7" fontId="1" numFmtId="0" xfId="0" applyAlignment="1" applyBorder="1" applyFont="1">
      <alignment horizontal="center" readingOrder="0" shrinkToFit="0" vertical="bottom" wrapText="0"/>
    </xf>
    <xf borderId="24" fillId="8" fontId="1" numFmtId="0" xfId="0" applyAlignment="1" applyBorder="1" applyFont="1">
      <alignment horizontal="center" readingOrder="0" shrinkToFit="0" vertical="bottom" wrapText="0"/>
    </xf>
    <xf borderId="24" fillId="9" fontId="1" numFmtId="0" xfId="0" applyAlignment="1" applyBorder="1" applyFont="1">
      <alignment horizontal="center" readingOrder="0" shrinkToFit="0" vertical="bottom" wrapText="0"/>
    </xf>
    <xf borderId="24" fillId="10" fontId="1" numFmtId="0" xfId="0" applyAlignment="1" applyBorder="1" applyFont="1">
      <alignment horizontal="center" readingOrder="0" shrinkToFit="0" vertical="bottom" wrapText="0"/>
    </xf>
    <xf borderId="0" fillId="0" fontId="16" numFmtId="0" xfId="0" applyAlignment="1" applyFont="1">
      <alignment vertical="center"/>
    </xf>
    <xf borderId="11" fillId="0" fontId="17" numFmtId="14" xfId="0" applyAlignment="1" applyBorder="1" applyFont="1" applyNumberFormat="1">
      <alignment vertical="center"/>
    </xf>
    <xf borderId="12" fillId="0" fontId="17" numFmtId="14" xfId="0" applyAlignment="1" applyBorder="1" applyFont="1" applyNumberFormat="1">
      <alignment vertical="center"/>
    </xf>
    <xf borderId="11" fillId="0" fontId="18" numFmtId="0" xfId="0" applyAlignment="1" applyBorder="1" applyFont="1">
      <alignment horizontal="center" vertical="center"/>
    </xf>
    <xf borderId="21" fillId="0" fontId="19" numFmtId="0" xfId="0" applyAlignment="1" applyBorder="1" applyFont="1">
      <alignment horizontal="center" vertical="center"/>
    </xf>
    <xf borderId="25" fillId="12" fontId="19" numFmtId="0" xfId="0" applyAlignment="1" applyBorder="1" applyFill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13" fontId="19" numFmtId="0" xfId="0" applyAlignment="1" applyBorder="1" applyFill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28" fillId="14" fontId="19" numFmtId="0" xfId="0" applyAlignment="1" applyBorder="1" applyFill="1" applyFont="1">
      <alignment horizontal="center" vertical="center"/>
    </xf>
    <xf borderId="31" fillId="15" fontId="19" numFmtId="0" xfId="0" applyAlignment="1" applyBorder="1" applyFill="1" applyFont="1">
      <alignment horizontal="center" vertical="center"/>
    </xf>
    <xf borderId="28" fillId="16" fontId="18" numFmtId="0" xfId="0" applyAlignment="1" applyBorder="1" applyFill="1" applyFont="1">
      <alignment horizontal="center" vertical="center"/>
    </xf>
    <xf borderId="32" fillId="0" fontId="16" numFmtId="0" xfId="0" applyAlignment="1" applyBorder="1" applyFont="1">
      <alignment vertical="center"/>
    </xf>
    <xf borderId="1" fillId="0" fontId="20" numFmtId="0" xfId="0" applyAlignment="1" applyBorder="1" applyFont="1">
      <alignment horizontal="center" vertical="center"/>
    </xf>
    <xf borderId="33" fillId="12" fontId="21" numFmtId="0" xfId="0" applyAlignment="1" applyBorder="1" applyFont="1">
      <alignment horizontal="center"/>
    </xf>
    <xf borderId="34" fillId="12" fontId="21" numFmtId="0" xfId="0" applyAlignment="1" applyBorder="1" applyFont="1">
      <alignment horizontal="center"/>
    </xf>
    <xf borderId="35" fillId="12" fontId="21" numFmtId="0" xfId="0" applyAlignment="1" applyBorder="1" applyFont="1">
      <alignment horizontal="center"/>
    </xf>
    <xf borderId="36" fillId="13" fontId="21" numFmtId="0" xfId="0" applyAlignment="1" applyBorder="1" applyFont="1">
      <alignment horizontal="center"/>
    </xf>
    <xf borderId="37" fillId="13" fontId="21" numFmtId="0" xfId="0" applyAlignment="1" applyBorder="1" applyFont="1">
      <alignment horizontal="center"/>
    </xf>
    <xf borderId="38" fillId="13" fontId="21" numFmtId="0" xfId="0" applyAlignment="1" applyBorder="1" applyFont="1">
      <alignment horizontal="center"/>
    </xf>
    <xf borderId="36" fillId="14" fontId="21" numFmtId="0" xfId="0" applyAlignment="1" applyBorder="1" applyFont="1">
      <alignment horizontal="center"/>
    </xf>
    <xf borderId="37" fillId="14" fontId="21" numFmtId="0" xfId="0" applyAlignment="1" applyBorder="1" applyFont="1">
      <alignment horizontal="center"/>
    </xf>
    <xf borderId="38" fillId="14" fontId="21" numFmtId="0" xfId="0" applyAlignment="1" applyBorder="1" applyFont="1">
      <alignment horizontal="center"/>
    </xf>
    <xf borderId="39" fillId="15" fontId="21" numFmtId="0" xfId="0" applyAlignment="1" applyBorder="1" applyFont="1">
      <alignment horizontal="center"/>
    </xf>
    <xf borderId="37" fillId="15" fontId="21" numFmtId="0" xfId="0" applyAlignment="1" applyBorder="1" applyFont="1">
      <alignment horizontal="center"/>
    </xf>
    <xf borderId="40" fillId="15" fontId="21" numFmtId="0" xfId="0" applyAlignment="1" applyBorder="1" applyFont="1">
      <alignment horizontal="center"/>
    </xf>
    <xf borderId="41" fillId="16" fontId="21" numFmtId="0" xfId="0" applyAlignment="1" applyBorder="1" applyFont="1">
      <alignment horizontal="center"/>
    </xf>
    <xf borderId="42" fillId="16" fontId="21" numFmtId="0" xfId="0" applyAlignment="1" applyBorder="1" applyFont="1">
      <alignment horizontal="center"/>
    </xf>
    <xf borderId="43" fillId="16" fontId="21" numFmtId="0" xfId="0" applyAlignment="1" applyBorder="1" applyFont="1">
      <alignment horizontal="center"/>
    </xf>
    <xf borderId="44" fillId="0" fontId="16" numFmtId="0" xfId="0" applyAlignment="1" applyBorder="1" applyFont="1">
      <alignment vertical="center"/>
    </xf>
    <xf borderId="45" fillId="12" fontId="21" numFmtId="0" xfId="0" applyAlignment="1" applyBorder="1" applyFont="1">
      <alignment horizontal="center"/>
    </xf>
    <xf borderId="46" fillId="12" fontId="21" numFmtId="0" xfId="0" applyAlignment="1" applyBorder="1" applyFont="1">
      <alignment horizontal="center"/>
    </xf>
    <xf borderId="47" fillId="12" fontId="21" numFmtId="0" xfId="0" applyAlignment="1" applyBorder="1" applyFont="1">
      <alignment horizontal="center"/>
    </xf>
    <xf borderId="45" fillId="13" fontId="21" numFmtId="0" xfId="0" applyAlignment="1" applyBorder="1" applyFont="1">
      <alignment horizontal="center"/>
    </xf>
    <xf borderId="46" fillId="13" fontId="21" numFmtId="0" xfId="0" applyAlignment="1" applyBorder="1" applyFont="1">
      <alignment horizontal="center"/>
    </xf>
    <xf borderId="48" fillId="13" fontId="21" numFmtId="0" xfId="0" applyAlignment="1" applyBorder="1" applyFont="1">
      <alignment horizontal="center"/>
    </xf>
    <xf borderId="49" fillId="14" fontId="21" numFmtId="0" xfId="0" applyAlignment="1" applyBorder="1" applyFont="1">
      <alignment horizontal="center"/>
    </xf>
    <xf borderId="45" fillId="14" fontId="21" numFmtId="0" xfId="0" applyAlignment="1" applyBorder="1" applyFont="1">
      <alignment horizontal="center"/>
    </xf>
    <xf borderId="48" fillId="14" fontId="21" numFmtId="0" xfId="0" applyAlignment="1" applyBorder="1" applyFont="1">
      <alignment horizontal="center"/>
    </xf>
    <xf borderId="46" fillId="14" fontId="21" numFmtId="0" xfId="0" applyAlignment="1" applyBorder="1" applyFont="1">
      <alignment horizontal="center"/>
    </xf>
    <xf borderId="49" fillId="15" fontId="21" numFmtId="0" xfId="0" applyAlignment="1" applyBorder="1" applyFont="1">
      <alignment horizontal="center"/>
    </xf>
    <xf borderId="46" fillId="15" fontId="21" numFmtId="0" xfId="0" applyAlignment="1" applyBorder="1" applyFont="1">
      <alignment horizontal="center"/>
    </xf>
    <xf borderId="46" fillId="16" fontId="21" numFmtId="0" xfId="0" applyAlignment="1" applyBorder="1" applyFont="1">
      <alignment horizontal="center"/>
    </xf>
    <xf borderId="50" fillId="16" fontId="21" numFmtId="0" xfId="0" applyAlignment="1" applyBorder="1" applyFont="1">
      <alignment horizontal="center"/>
    </xf>
    <xf borderId="1" fillId="0" fontId="16" numFmtId="0" xfId="0" applyAlignment="1" applyBorder="1" applyFont="1">
      <alignment vertical="center"/>
    </xf>
    <xf borderId="2" fillId="0" fontId="16" numFmtId="0" xfId="0" applyAlignment="1" applyBorder="1" applyFont="1">
      <alignment vertical="center"/>
    </xf>
    <xf borderId="51" fillId="12" fontId="18" numFmtId="2" xfId="0" applyAlignment="1" applyBorder="1" applyFont="1" applyNumberFormat="1">
      <alignment horizontal="left" shrinkToFit="0" vertical="center" wrapText="1"/>
    </xf>
    <xf borderId="52" fillId="12" fontId="16" numFmtId="2" xfId="0" applyAlignment="1" applyBorder="1" applyFont="1" applyNumberFormat="1">
      <alignment horizontal="left" shrinkToFit="0" vertical="center" wrapText="1"/>
    </xf>
    <xf borderId="53" fillId="12" fontId="16" numFmtId="2" xfId="0" applyAlignment="1" applyBorder="1" applyFont="1" applyNumberFormat="1">
      <alignment horizontal="left" shrinkToFit="0" vertical="center" wrapText="1"/>
    </xf>
    <xf borderId="54" fillId="12" fontId="16" numFmtId="2" xfId="0" applyAlignment="1" applyBorder="1" applyFont="1" applyNumberFormat="1">
      <alignment horizontal="left" shrinkToFit="0" vertical="center" wrapText="1"/>
    </xf>
    <xf borderId="51" fillId="13" fontId="16" numFmtId="2" xfId="0" applyAlignment="1" applyBorder="1" applyFont="1" applyNumberFormat="1">
      <alignment horizontal="left" shrinkToFit="0" vertical="center" wrapText="1"/>
    </xf>
    <xf borderId="54" fillId="13" fontId="16" numFmtId="2" xfId="0" applyAlignment="1" applyBorder="1" applyFont="1" applyNumberFormat="1">
      <alignment horizontal="left" shrinkToFit="0" vertical="center" wrapText="1"/>
    </xf>
    <xf borderId="53" fillId="13" fontId="16" numFmtId="2" xfId="0" applyAlignment="1" applyBorder="1" applyFont="1" applyNumberFormat="1">
      <alignment horizontal="left" shrinkToFit="0" vertical="center" wrapText="1"/>
    </xf>
    <xf borderId="52" fillId="13" fontId="16" numFmtId="2" xfId="0" applyAlignment="1" applyBorder="1" applyFont="1" applyNumberFormat="1">
      <alignment horizontal="left" shrinkToFit="0" vertical="center" wrapText="1"/>
    </xf>
    <xf borderId="55" fillId="13" fontId="16" numFmtId="2" xfId="0" applyAlignment="1" applyBorder="1" applyFont="1" applyNumberFormat="1">
      <alignment horizontal="left" shrinkToFit="0" vertical="center" wrapText="1"/>
    </xf>
    <xf borderId="36" fillId="14" fontId="16" numFmtId="2" xfId="0" applyAlignment="1" applyBorder="1" applyFont="1" applyNumberFormat="1">
      <alignment horizontal="left" shrinkToFit="0" vertical="center" wrapText="1"/>
    </xf>
    <xf borderId="53" fillId="14" fontId="16" numFmtId="2" xfId="0" applyAlignment="1" applyBorder="1" applyFont="1" applyNumberFormat="1">
      <alignment horizontal="left" shrinkToFit="0" vertical="center" wrapText="1"/>
    </xf>
    <xf borderId="52" fillId="14" fontId="16" numFmtId="2" xfId="0" applyAlignment="1" applyBorder="1" applyFont="1" applyNumberFormat="1">
      <alignment horizontal="left" shrinkToFit="0" vertical="center" wrapText="1"/>
    </xf>
    <xf borderId="37" fillId="14" fontId="16" numFmtId="2" xfId="0" applyAlignment="1" applyBorder="1" applyFont="1" applyNumberFormat="1">
      <alignment horizontal="left" shrinkToFit="0" vertical="center" wrapText="1"/>
    </xf>
    <xf borderId="55" fillId="14" fontId="16" numFmtId="2" xfId="0" applyAlignment="1" applyBorder="1" applyFont="1" applyNumberFormat="1">
      <alignment horizontal="left" shrinkToFit="0" vertical="center" wrapText="1"/>
    </xf>
    <xf borderId="52" fillId="15" fontId="16" numFmtId="2" xfId="0" applyAlignment="1" applyBorder="1" applyFont="1" applyNumberFormat="1">
      <alignment horizontal="left" shrinkToFit="0" vertical="center" wrapText="1"/>
    </xf>
    <xf borderId="56" fillId="15" fontId="16" numFmtId="2" xfId="0" applyAlignment="1" applyBorder="1" applyFont="1" applyNumberFormat="1">
      <alignment horizontal="left" shrinkToFit="0" vertical="center" wrapText="1"/>
    </xf>
    <xf borderId="53" fillId="15" fontId="16" numFmtId="2" xfId="0" applyAlignment="1" applyBorder="1" applyFont="1" applyNumberFormat="1">
      <alignment horizontal="left" shrinkToFit="0" vertical="center" wrapText="1"/>
    </xf>
    <xf borderId="54" fillId="15" fontId="16" numFmtId="2" xfId="0" applyAlignment="1" applyBorder="1" applyFont="1" applyNumberFormat="1">
      <alignment horizontal="left" shrinkToFit="0" vertical="center" wrapText="1"/>
    </xf>
    <xf borderId="57" fillId="15" fontId="16" numFmtId="2" xfId="0" applyAlignment="1" applyBorder="1" applyFont="1" applyNumberFormat="1">
      <alignment horizontal="left" shrinkToFit="0" vertical="center" wrapText="1"/>
    </xf>
    <xf borderId="54" fillId="16" fontId="16" numFmtId="2" xfId="0" applyAlignment="1" applyBorder="1" applyFont="1" applyNumberFormat="1">
      <alignment horizontal="left" shrinkToFit="0" vertical="center" wrapText="1"/>
    </xf>
    <xf borderId="38" fillId="16" fontId="16" numFmtId="2" xfId="0" applyAlignment="1" applyBorder="1" applyFont="1" applyNumberFormat="1">
      <alignment horizontal="left" shrinkToFit="0" vertical="center" wrapText="1"/>
    </xf>
    <xf borderId="17" fillId="0" fontId="16" numFmtId="0" xfId="0" applyAlignment="1" applyBorder="1" applyFont="1">
      <alignment vertical="center"/>
    </xf>
    <xf borderId="18" fillId="0" fontId="16" numFmtId="0" xfId="0" applyAlignment="1" applyBorder="1" applyFont="1">
      <alignment vertical="center"/>
    </xf>
    <xf borderId="45" fillId="12" fontId="16" numFmtId="2" xfId="0" applyAlignment="1" applyBorder="1" applyFont="1" applyNumberFormat="1">
      <alignment horizontal="left" shrinkToFit="0" vertical="center" wrapText="1"/>
    </xf>
    <xf borderId="58" fillId="12" fontId="16" numFmtId="2" xfId="0" applyAlignment="1" applyBorder="1" applyFont="1" applyNumberFormat="1">
      <alignment horizontal="left" shrinkToFit="0" vertical="center" wrapText="1"/>
    </xf>
    <xf borderId="49" fillId="13" fontId="16" numFmtId="2" xfId="0" applyAlignment="1" applyBorder="1" applyFont="1" applyNumberFormat="1">
      <alignment horizontal="left" shrinkToFit="0" vertical="center" wrapText="1"/>
    </xf>
    <xf borderId="45" fillId="13" fontId="16" numFmtId="2" xfId="0" applyAlignment="1" applyBorder="1" applyFont="1" applyNumberFormat="1">
      <alignment horizontal="left" shrinkToFit="0" vertical="center" wrapText="1"/>
    </xf>
    <xf borderId="46" fillId="13" fontId="16" numFmtId="2" xfId="0" applyAlignment="1" applyBorder="1" applyFont="1" applyNumberFormat="1">
      <alignment horizontal="left" shrinkToFit="0" vertical="center" wrapText="1"/>
    </xf>
    <xf borderId="58" fillId="13" fontId="16" numFmtId="2" xfId="0" applyAlignment="1" applyBorder="1" applyFont="1" applyNumberFormat="1">
      <alignment horizontal="left" shrinkToFit="0" vertical="center" wrapText="1"/>
    </xf>
    <xf borderId="59" fillId="13" fontId="16" numFmtId="2" xfId="0" applyAlignment="1" applyBorder="1" applyFont="1" applyNumberFormat="1">
      <alignment horizontal="left" shrinkToFit="0" vertical="center" wrapText="1"/>
    </xf>
    <xf borderId="49" fillId="14" fontId="16" numFmtId="2" xfId="0" applyAlignment="1" applyBorder="1" applyFont="1" applyNumberFormat="1">
      <alignment horizontal="left" shrinkToFit="0" vertical="center" wrapText="1"/>
    </xf>
    <xf borderId="46" fillId="14" fontId="16" numFmtId="2" xfId="0" applyAlignment="1" applyBorder="1" applyFont="1" applyNumberFormat="1">
      <alignment horizontal="left" shrinkToFit="0" vertical="center" wrapText="1"/>
    </xf>
    <xf borderId="58" fillId="14" fontId="16" numFmtId="2" xfId="0" applyAlignment="1" applyBorder="1" applyFont="1" applyNumberFormat="1">
      <alignment horizontal="left" shrinkToFit="0" vertical="center" wrapText="1"/>
    </xf>
    <xf borderId="59" fillId="14" fontId="16" numFmtId="2" xfId="0" applyAlignment="1" applyBorder="1" applyFont="1" applyNumberFormat="1">
      <alignment horizontal="left" shrinkToFit="0" vertical="center" wrapText="1"/>
    </xf>
    <xf borderId="58" fillId="15" fontId="16" numFmtId="2" xfId="0" applyAlignment="1" applyBorder="1" applyFont="1" applyNumberFormat="1">
      <alignment horizontal="left" shrinkToFit="0" vertical="center" wrapText="1"/>
    </xf>
    <xf borderId="48" fillId="15" fontId="16" numFmtId="2" xfId="0" applyAlignment="1" applyBorder="1" applyFont="1" applyNumberFormat="1">
      <alignment horizontal="left" shrinkToFit="0" vertical="center" wrapText="1"/>
    </xf>
    <xf borderId="46" fillId="15" fontId="16" numFmtId="2" xfId="0" applyAlignment="1" applyBorder="1" applyFont="1" applyNumberFormat="1">
      <alignment horizontal="left" shrinkToFit="0" vertical="center" wrapText="1"/>
    </xf>
    <xf borderId="45" fillId="15" fontId="16" numFmtId="2" xfId="0" applyAlignment="1" applyBorder="1" applyFont="1" applyNumberFormat="1">
      <alignment horizontal="left" shrinkToFit="0" vertical="center" wrapText="1"/>
    </xf>
    <xf borderId="59" fillId="15" fontId="16" numFmtId="2" xfId="0" applyAlignment="1" applyBorder="1" applyFont="1" applyNumberFormat="1">
      <alignment horizontal="left" shrinkToFit="0" vertical="center" wrapText="1"/>
    </xf>
    <xf borderId="45" fillId="16" fontId="16" numFmtId="2" xfId="0" applyAlignment="1" applyBorder="1" applyFont="1" applyNumberFormat="1">
      <alignment horizontal="left" shrinkToFit="0" vertical="center" wrapText="1"/>
    </xf>
    <xf borderId="47" fillId="16" fontId="16" numFmtId="2" xfId="0" applyAlignment="1" applyBorder="1" applyFont="1" applyNumberFormat="1">
      <alignment horizontal="left" shrinkToFit="0" vertical="center" wrapText="1"/>
    </xf>
    <xf borderId="39" fillId="12" fontId="16" numFmtId="2" xfId="0" applyAlignment="1" applyBorder="1" applyFont="1" applyNumberFormat="1">
      <alignment horizontal="left" shrinkToFit="0" vertical="center" wrapText="1"/>
    </xf>
    <xf borderId="36" fillId="13" fontId="16" numFmtId="2" xfId="0" applyAlignment="1" applyBorder="1" applyFont="1" applyNumberFormat="1">
      <alignment horizontal="left" shrinkToFit="0" vertical="center" wrapText="1"/>
    </xf>
    <xf borderId="39" fillId="13" fontId="16" numFmtId="2" xfId="0" applyAlignment="1" applyBorder="1" applyFont="1" applyNumberFormat="1">
      <alignment horizontal="left" shrinkToFit="0" vertical="center" wrapText="1"/>
    </xf>
    <xf borderId="37" fillId="13" fontId="16" numFmtId="2" xfId="0" applyAlignment="1" applyBorder="1" applyFont="1" applyNumberFormat="1">
      <alignment horizontal="left" shrinkToFit="0" vertical="center" wrapText="1"/>
    </xf>
    <xf borderId="60" fillId="15" fontId="16" numFmtId="2" xfId="0" applyAlignment="1" applyBorder="1" applyFont="1" applyNumberFormat="1">
      <alignment horizontal="left" shrinkToFit="0" vertical="center" wrapText="1"/>
    </xf>
    <xf borderId="37" fillId="15" fontId="16" numFmtId="2" xfId="0" applyAlignment="1" applyBorder="1" applyFont="1" applyNumberFormat="1">
      <alignment horizontal="left" shrinkToFit="0" vertical="center" wrapText="1"/>
    </xf>
    <xf borderId="39" fillId="15" fontId="16" numFmtId="2" xfId="0" applyAlignment="1" applyBorder="1" applyFont="1" applyNumberFormat="1">
      <alignment horizontal="left" shrinkToFit="0" vertical="center" wrapText="1"/>
    </xf>
    <xf borderId="55" fillId="15" fontId="16" numFmtId="2" xfId="0" applyAlignment="1" applyBorder="1" applyFont="1" applyNumberFormat="1">
      <alignment horizontal="left" shrinkToFit="0" vertical="center" wrapText="1"/>
    </xf>
    <xf borderId="39" fillId="16" fontId="16" numFmtId="2" xfId="0" applyAlignment="1" applyBorder="1" applyFont="1" applyNumberFormat="1">
      <alignment horizontal="left" shrinkToFit="0" vertical="center" wrapText="1"/>
    </xf>
    <xf borderId="61" fillId="0" fontId="16" numFmtId="0" xfId="0" applyAlignment="1" applyBorder="1" applyFont="1">
      <alignment vertical="center"/>
    </xf>
    <xf borderId="6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62" fillId="12" fontId="16" numFmtId="2" xfId="0" applyAlignment="1" applyBorder="1" applyFont="1" applyNumberFormat="1">
      <alignment horizontal="left" shrinkToFit="0" vertical="center" wrapText="1"/>
    </xf>
    <xf borderId="63" fillId="12" fontId="16" numFmtId="2" xfId="0" applyAlignment="1" applyBorder="1" applyFont="1" applyNumberFormat="1">
      <alignment horizontal="left" shrinkToFit="0" vertical="center" wrapText="1"/>
    </xf>
    <xf borderId="64" fillId="13" fontId="16" numFmtId="2" xfId="0" applyAlignment="1" applyBorder="1" applyFont="1" applyNumberFormat="1">
      <alignment horizontal="left" shrinkToFit="0" vertical="center" wrapText="1"/>
    </xf>
    <xf borderId="62" fillId="13" fontId="16" numFmtId="2" xfId="0" applyAlignment="1" applyBorder="1" applyFont="1" applyNumberFormat="1">
      <alignment horizontal="left" shrinkToFit="0" vertical="center" wrapText="1"/>
    </xf>
    <xf borderId="65" fillId="13" fontId="16" numFmtId="2" xfId="0" applyAlignment="1" applyBorder="1" applyFont="1" applyNumberFormat="1">
      <alignment horizontal="left" shrinkToFit="0" vertical="center" wrapText="1"/>
    </xf>
    <xf borderId="63" fillId="13" fontId="16" numFmtId="2" xfId="0" applyAlignment="1" applyBorder="1" applyFont="1" applyNumberFormat="1">
      <alignment horizontal="left" shrinkToFit="0" vertical="center" wrapText="1"/>
    </xf>
    <xf borderId="66" fillId="13" fontId="16" numFmtId="2" xfId="0" applyAlignment="1" applyBorder="1" applyFont="1" applyNumberFormat="1">
      <alignment horizontal="left" shrinkToFit="0" vertical="center" wrapText="1"/>
    </xf>
    <xf borderId="64" fillId="14" fontId="16" numFmtId="2" xfId="0" applyAlignment="1" applyBorder="1" applyFont="1" applyNumberFormat="1">
      <alignment horizontal="left" shrinkToFit="0" vertical="center" wrapText="1"/>
    </xf>
    <xf borderId="65" fillId="14" fontId="16" numFmtId="2" xfId="0" applyAlignment="1" applyBorder="1" applyFont="1" applyNumberFormat="1">
      <alignment horizontal="left" shrinkToFit="0" vertical="center" wrapText="1"/>
    </xf>
    <xf borderId="63" fillId="14" fontId="16" numFmtId="2" xfId="0" applyAlignment="1" applyBorder="1" applyFont="1" applyNumberFormat="1">
      <alignment horizontal="left" shrinkToFit="0" vertical="center" wrapText="1"/>
    </xf>
    <xf borderId="66" fillId="14" fontId="16" numFmtId="2" xfId="0" applyAlignment="1" applyBorder="1" applyFont="1" applyNumberFormat="1">
      <alignment horizontal="left" shrinkToFit="0" vertical="center" wrapText="1"/>
    </xf>
    <xf borderId="63" fillId="15" fontId="16" numFmtId="2" xfId="0" applyAlignment="1" applyBorder="1" applyFont="1" applyNumberFormat="1">
      <alignment horizontal="left" shrinkToFit="0" vertical="center" wrapText="1"/>
    </xf>
    <xf borderId="67" fillId="15" fontId="16" numFmtId="2" xfId="0" applyAlignment="1" applyBorder="1" applyFont="1" applyNumberFormat="1">
      <alignment horizontal="left" shrinkToFit="0" vertical="center" wrapText="1"/>
    </xf>
    <xf borderId="65" fillId="15" fontId="16" numFmtId="2" xfId="0" applyAlignment="1" applyBorder="1" applyFont="1" applyNumberFormat="1">
      <alignment horizontal="left" shrinkToFit="0" vertical="center" wrapText="1"/>
    </xf>
    <xf borderId="62" fillId="15" fontId="16" numFmtId="2" xfId="0" applyAlignment="1" applyBorder="1" applyFont="1" applyNumberFormat="1">
      <alignment horizontal="left" shrinkToFit="0" vertical="center" wrapText="1"/>
    </xf>
    <xf borderId="66" fillId="15" fontId="16" numFmtId="2" xfId="0" applyAlignment="1" applyBorder="1" applyFont="1" applyNumberFormat="1">
      <alignment horizontal="left" shrinkToFit="0" vertical="center" wrapText="1"/>
    </xf>
    <xf borderId="64" fillId="16" fontId="16" numFmtId="2" xfId="0" applyAlignment="1" applyBorder="1" applyFont="1" applyNumberFormat="1">
      <alignment horizontal="left" shrinkToFit="0" vertical="center" wrapText="1"/>
    </xf>
    <xf borderId="62" fillId="16" fontId="16" numFmtId="2" xfId="0" applyAlignment="1" applyBorder="1" applyFont="1" applyNumberFormat="1">
      <alignment horizontal="left" shrinkToFit="0" vertical="center" wrapText="1"/>
    </xf>
    <xf borderId="68" fillId="16" fontId="16" numFmtId="2" xfId="0" applyAlignment="1" applyBorder="1" applyFont="1" applyNumberFormat="1">
      <alignment horizontal="left" shrinkToFit="0" vertical="center" wrapText="1"/>
    </xf>
    <xf borderId="69" fillId="0" fontId="16" numFmtId="0" xfId="0" applyAlignment="1" applyBorder="1" applyFont="1">
      <alignment vertical="center"/>
    </xf>
    <xf borderId="70" fillId="0" fontId="16" numFmtId="0" xfId="0" applyAlignment="1" applyBorder="1" applyFont="1">
      <alignment vertical="center"/>
    </xf>
    <xf borderId="71" fillId="0" fontId="16" numFmtId="0" xfId="0" applyAlignment="1" applyBorder="1" applyFont="1">
      <alignment vertical="center"/>
    </xf>
    <xf borderId="72" fillId="0" fontId="16" numFmtId="0" xfId="0" applyAlignment="1" applyBorder="1" applyFont="1">
      <alignment vertical="center"/>
    </xf>
    <xf borderId="73" fillId="0" fontId="16" numFmtId="0" xfId="0" applyAlignment="1" applyBorder="1" applyFont="1">
      <alignment vertical="center"/>
    </xf>
    <xf borderId="74" fillId="0" fontId="16" numFmtId="0" xfId="0" applyAlignment="1" applyBorder="1" applyFont="1">
      <alignment vertical="center"/>
    </xf>
    <xf borderId="75" fillId="0" fontId="16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spPr>
            <a:solidFill>
              <a:srgbClr val="548235">
                <a:alpha val="30000"/>
              </a:srgbClr>
            </a:solidFill>
            <a:ln cmpd="sng">
              <a:solidFill>
                <a:srgbClr val="548235">
                  <a:alpha val="100000"/>
                </a:srgbClr>
              </a:solidFill>
            </a:ln>
          </c:spPr>
          <c:val>
            <c:numRef>
              <c:f>Macro1!$E$13:$AI$13</c:f>
              <c:numCache/>
            </c:numRef>
          </c:val>
        </c:ser>
        <c:axId val="967448291"/>
        <c:axId val="264718708"/>
      </c:areaChart>
      <c:catAx>
        <c:axId val="967448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718708"/>
      </c:catAx>
      <c:valAx>
        <c:axId val="264718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4482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6E0B4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0</xdr:row>
      <xdr:rowOff>333375</xdr:rowOff>
    </xdr:from>
    <xdr:ext cx="18202275" cy="33147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7.0"/>
    <col customWidth="1" min="3" max="3" width="13.43"/>
    <col customWidth="1" min="4" max="4" width="6.43"/>
    <col customWidth="1" min="5" max="35" width="8.71"/>
    <col customWidth="1" min="36" max="36" width="6.43"/>
    <col customWidth="1" min="37" max="37" width="14.57"/>
    <col customWidth="1" min="38" max="38" width="12.14"/>
    <col customWidth="1" min="39" max="39" width="24.86"/>
  </cols>
  <sheetData>
    <row r="1" ht="26.25" customHeight="1">
      <c r="A1" s="1"/>
      <c r="B1" s="1"/>
      <c r="C1" s="1"/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I1" s="1"/>
      <c r="AJ1" s="1"/>
      <c r="AK1" s="1"/>
      <c r="AL1" s="1"/>
      <c r="AM1" s="1"/>
    </row>
    <row r="2" ht="26.25" customHeight="1">
      <c r="A2" s="1"/>
      <c r="B2" s="2">
        <v>46063.0</v>
      </c>
      <c r="C2" s="3"/>
      <c r="D2" s="1"/>
      <c r="F2" s="1"/>
      <c r="H2" s="1"/>
      <c r="J2" s="1"/>
      <c r="L2" s="1"/>
      <c r="N2" s="1"/>
      <c r="P2" s="1"/>
      <c r="R2" s="1"/>
      <c r="T2" s="1"/>
      <c r="V2" s="1"/>
      <c r="X2" s="1"/>
      <c r="Z2" s="1"/>
      <c r="AB2" s="1"/>
      <c r="AD2" s="1"/>
      <c r="AF2" s="1"/>
      <c r="AH2" s="1"/>
      <c r="AI2" s="1"/>
      <c r="AJ2" s="1"/>
      <c r="AK2" s="4" t="s">
        <v>0</v>
      </c>
      <c r="AL2" s="5"/>
      <c r="AM2" s="6"/>
    </row>
    <row r="3" ht="26.25" customHeight="1">
      <c r="A3" s="1"/>
      <c r="B3" s="7"/>
      <c r="C3" s="8"/>
      <c r="D3" s="1"/>
      <c r="F3" s="1"/>
      <c r="H3" s="1"/>
      <c r="J3" s="1"/>
      <c r="L3" s="1"/>
      <c r="N3" s="1"/>
      <c r="P3" s="1"/>
      <c r="R3" s="1"/>
      <c r="T3" s="1"/>
      <c r="V3" s="1"/>
      <c r="X3" s="1"/>
      <c r="Z3" s="1"/>
      <c r="AB3" s="1"/>
      <c r="AD3" s="1"/>
      <c r="AF3" s="1"/>
      <c r="AH3" s="1"/>
      <c r="AI3" s="1"/>
      <c r="AJ3" s="1"/>
      <c r="AK3" s="9"/>
      <c r="AL3" s="10"/>
      <c r="AM3" s="11"/>
    </row>
    <row r="4" ht="26.25" customHeight="1">
      <c r="A4" s="1"/>
      <c r="B4" s="12" t="s">
        <v>1</v>
      </c>
      <c r="C4" s="13"/>
      <c r="D4" s="1"/>
      <c r="F4" s="1"/>
      <c r="H4" s="1"/>
      <c r="J4" s="1"/>
      <c r="L4" s="1"/>
      <c r="N4" s="1"/>
      <c r="P4" s="1"/>
      <c r="R4" s="1"/>
      <c r="T4" s="1"/>
      <c r="V4" s="1"/>
      <c r="X4" s="1"/>
      <c r="Z4" s="1"/>
      <c r="AB4" s="1"/>
      <c r="AD4" s="1"/>
      <c r="AF4" s="1"/>
      <c r="AH4" s="1"/>
      <c r="AI4" s="1"/>
      <c r="AJ4" s="1"/>
      <c r="AK4" s="14"/>
      <c r="AM4" s="15"/>
    </row>
    <row r="5" ht="26.25" customHeight="1">
      <c r="A5" s="1"/>
      <c r="B5" s="1"/>
      <c r="C5" s="1"/>
      <c r="D5" s="1"/>
      <c r="F5" s="1"/>
      <c r="H5" s="1"/>
      <c r="J5" s="1"/>
      <c r="L5" s="1"/>
      <c r="N5" s="1"/>
      <c r="P5" s="1"/>
      <c r="R5" s="1"/>
      <c r="T5" s="1"/>
      <c r="V5" s="1"/>
      <c r="X5" s="1"/>
      <c r="Z5" s="1"/>
      <c r="AB5" s="1"/>
      <c r="AD5" s="1"/>
      <c r="AF5" s="1"/>
      <c r="AH5" s="1"/>
      <c r="AI5" s="1"/>
      <c r="AJ5" s="1"/>
      <c r="AK5" s="14"/>
      <c r="AM5" s="15"/>
    </row>
    <row r="6" ht="26.25" customHeight="1">
      <c r="A6" s="1"/>
      <c r="B6" s="16" t="s">
        <v>2</v>
      </c>
      <c r="C6" s="13"/>
      <c r="D6" s="1"/>
      <c r="F6" s="1"/>
      <c r="H6" s="1"/>
      <c r="J6" s="1"/>
      <c r="L6" s="1"/>
      <c r="N6" s="1"/>
      <c r="P6" s="1"/>
      <c r="R6" s="1"/>
      <c r="T6" s="1"/>
      <c r="V6" s="1"/>
      <c r="X6" s="1"/>
      <c r="Z6" s="1"/>
      <c r="AB6" s="1"/>
      <c r="AD6" s="1"/>
      <c r="AF6" s="1"/>
      <c r="AH6" s="1"/>
      <c r="AI6" s="1"/>
      <c r="AJ6" s="1"/>
      <c r="AK6" s="14"/>
      <c r="AM6" s="15"/>
    </row>
    <row r="7" ht="26.25" customHeight="1">
      <c r="A7" s="1"/>
      <c r="B7" s="17">
        <f>COUNTIF(E29:AI50,TRUE)</f>
        <v>11</v>
      </c>
      <c r="C7" s="3"/>
      <c r="D7" s="1"/>
      <c r="F7" s="1"/>
      <c r="H7" s="1"/>
      <c r="J7" s="1"/>
      <c r="L7" s="1"/>
      <c r="N7" s="1"/>
      <c r="P7" s="1"/>
      <c r="R7" s="1"/>
      <c r="T7" s="1"/>
      <c r="V7" s="1"/>
      <c r="X7" s="1"/>
      <c r="Z7" s="1"/>
      <c r="AB7" s="1"/>
      <c r="AD7" s="1"/>
      <c r="AF7" s="1"/>
      <c r="AH7" s="1"/>
      <c r="AI7" s="1"/>
      <c r="AJ7" s="1"/>
      <c r="AK7" s="14"/>
      <c r="AM7" s="15"/>
    </row>
    <row r="8" ht="26.25" customHeight="1">
      <c r="A8" s="1"/>
      <c r="B8" s="7"/>
      <c r="C8" s="8"/>
      <c r="D8" s="1"/>
      <c r="F8" s="1"/>
      <c r="H8" s="1"/>
      <c r="J8" s="1"/>
      <c r="L8" s="1"/>
      <c r="N8" s="1"/>
      <c r="P8" s="1"/>
      <c r="R8" s="1"/>
      <c r="T8" s="1"/>
      <c r="V8" s="1"/>
      <c r="X8" s="1"/>
      <c r="Z8" s="1"/>
      <c r="AB8" s="1"/>
      <c r="AD8" s="1"/>
      <c r="AF8" s="1"/>
      <c r="AH8" s="1"/>
      <c r="AI8" s="1"/>
      <c r="AJ8" s="1"/>
      <c r="AK8" s="14"/>
      <c r="AM8" s="15"/>
    </row>
    <row r="9" ht="26.25" customHeight="1">
      <c r="A9" s="1"/>
      <c r="B9" s="1"/>
      <c r="C9" s="1"/>
      <c r="D9" s="1"/>
      <c r="F9" s="1"/>
      <c r="H9" s="1"/>
      <c r="J9" s="1"/>
      <c r="L9" s="1"/>
      <c r="N9" s="1"/>
      <c r="P9" s="1"/>
      <c r="R9" s="1"/>
      <c r="T9" s="1"/>
      <c r="V9" s="1"/>
      <c r="X9" s="1"/>
      <c r="Z9" s="1"/>
      <c r="AB9" s="1"/>
      <c r="AD9" s="1"/>
      <c r="AF9" s="1"/>
      <c r="AH9" s="1"/>
      <c r="AI9" s="1"/>
      <c r="AJ9" s="1"/>
      <c r="AK9" s="14"/>
      <c r="AM9" s="15"/>
    </row>
    <row r="10" ht="26.25" customHeight="1">
      <c r="A10" s="1"/>
      <c r="B10" s="16" t="s">
        <v>3</v>
      </c>
      <c r="C10" s="13"/>
      <c r="D10" s="1"/>
      <c r="F10" s="1"/>
      <c r="H10" s="1"/>
      <c r="J10" s="1"/>
      <c r="L10" s="1"/>
      <c r="N10" s="1"/>
      <c r="P10" s="1"/>
      <c r="R10" s="1"/>
      <c r="T10" s="1"/>
      <c r="V10" s="1"/>
      <c r="X10" s="1"/>
      <c r="Z10" s="1"/>
      <c r="AB10" s="1"/>
      <c r="AD10" s="1"/>
      <c r="AF10" s="1"/>
      <c r="AH10" s="1"/>
      <c r="AI10" s="1"/>
      <c r="AJ10" s="1"/>
      <c r="AK10" s="14"/>
      <c r="AM10" s="15"/>
    </row>
    <row r="11" ht="26.25" customHeight="1">
      <c r="A11" s="1"/>
      <c r="B11" s="18">
        <f>sum(C29:C50)-COUNTIF(E29:AI50,TRUE)</f>
        <v>167</v>
      </c>
      <c r="C11" s="3"/>
      <c r="D11" s="1"/>
      <c r="E11" s="1"/>
      <c r="F11" s="1"/>
      <c r="H11" s="1"/>
      <c r="J11" s="1"/>
      <c r="L11" s="1"/>
      <c r="N11" s="1"/>
      <c r="P11" s="1"/>
      <c r="R11" s="1"/>
      <c r="T11" s="1"/>
      <c r="V11" s="1"/>
      <c r="X11" s="1"/>
      <c r="Z11" s="1"/>
      <c r="AB11" s="1"/>
      <c r="AD11" s="1"/>
      <c r="AF11" s="1"/>
      <c r="AH11" s="1"/>
      <c r="AI11" s="1"/>
      <c r="AJ11" s="1"/>
      <c r="AK11" s="19"/>
      <c r="AL11" s="10"/>
      <c r="AM11" s="11"/>
    </row>
    <row r="12" ht="26.25" customHeight="1">
      <c r="A12" s="1"/>
      <c r="B12" s="7"/>
      <c r="C12" s="8"/>
      <c r="D12" s="1"/>
      <c r="E12" s="1"/>
      <c r="F12" s="1"/>
      <c r="H12" s="1"/>
      <c r="J12" s="1"/>
      <c r="L12" s="1"/>
      <c r="N12" s="1"/>
      <c r="P12" s="1"/>
      <c r="R12" s="1"/>
      <c r="T12" s="1"/>
      <c r="V12" s="1"/>
      <c r="X12" s="1"/>
      <c r="Z12" s="1"/>
      <c r="AB12" s="1"/>
      <c r="AD12" s="1"/>
      <c r="AF12" s="1"/>
      <c r="AH12" s="1"/>
      <c r="AI12" s="1"/>
      <c r="AJ12" s="1"/>
      <c r="AK12" s="1"/>
    </row>
    <row r="13" ht="26.25" customHeight="1">
      <c r="A13" s="1"/>
      <c r="B13" s="1"/>
      <c r="C13" s="1"/>
      <c r="D13" s="1"/>
      <c r="E13" s="20">
        <f t="shared" ref="E13:AI13" si="1">IFERROR(E19/E20,0%)</f>
        <v>0.3333333333</v>
      </c>
      <c r="F13" s="20">
        <f t="shared" si="1"/>
        <v>0.3333333333</v>
      </c>
      <c r="G13" s="20">
        <f t="shared" si="1"/>
        <v>0.3333333333</v>
      </c>
      <c r="H13" s="20">
        <f t="shared" si="1"/>
        <v>0.3333333333</v>
      </c>
      <c r="I13" s="20">
        <f t="shared" si="1"/>
        <v>0.3333333333</v>
      </c>
      <c r="J13" s="20">
        <f t="shared" si="1"/>
        <v>0.1666666667</v>
      </c>
      <c r="K13" s="20">
        <f t="shared" si="1"/>
        <v>0</v>
      </c>
      <c r="L13" s="20">
        <f t="shared" si="1"/>
        <v>0</v>
      </c>
      <c r="M13" s="20">
        <f t="shared" si="1"/>
        <v>0</v>
      </c>
      <c r="N13" s="20">
        <f t="shared" si="1"/>
        <v>0</v>
      </c>
      <c r="O13" s="20">
        <f t="shared" si="1"/>
        <v>0</v>
      </c>
      <c r="P13" s="20">
        <f t="shared" si="1"/>
        <v>0</v>
      </c>
      <c r="Q13" s="20">
        <f t="shared" si="1"/>
        <v>0</v>
      </c>
      <c r="R13" s="20">
        <f t="shared" si="1"/>
        <v>0</v>
      </c>
      <c r="S13" s="20">
        <f t="shared" si="1"/>
        <v>0</v>
      </c>
      <c r="T13" s="20">
        <f t="shared" si="1"/>
        <v>0</v>
      </c>
      <c r="U13" s="20">
        <f t="shared" si="1"/>
        <v>0</v>
      </c>
      <c r="V13" s="20">
        <f t="shared" si="1"/>
        <v>0</v>
      </c>
      <c r="W13" s="20">
        <f t="shared" si="1"/>
        <v>0</v>
      </c>
      <c r="X13" s="20">
        <f t="shared" si="1"/>
        <v>0</v>
      </c>
      <c r="Y13" s="20">
        <f t="shared" si="1"/>
        <v>0</v>
      </c>
      <c r="Z13" s="20">
        <f t="shared" si="1"/>
        <v>0</v>
      </c>
      <c r="AA13" s="20">
        <f t="shared" si="1"/>
        <v>0</v>
      </c>
      <c r="AB13" s="20">
        <f t="shared" si="1"/>
        <v>0</v>
      </c>
      <c r="AC13" s="20">
        <f t="shared" si="1"/>
        <v>0</v>
      </c>
      <c r="AD13" s="20">
        <f t="shared" si="1"/>
        <v>0</v>
      </c>
      <c r="AE13" s="20">
        <f t="shared" si="1"/>
        <v>0</v>
      </c>
      <c r="AF13" s="20">
        <f t="shared" si="1"/>
        <v>0</v>
      </c>
      <c r="AG13" s="20">
        <f t="shared" si="1"/>
        <v>0</v>
      </c>
      <c r="AH13" s="20">
        <f t="shared" si="1"/>
        <v>0</v>
      </c>
      <c r="AI13" s="20">
        <f t="shared" si="1"/>
        <v>0</v>
      </c>
      <c r="AJ13" s="1"/>
      <c r="AK13" s="21" t="s">
        <v>4</v>
      </c>
      <c r="AL13" s="5"/>
      <c r="AM13" s="6"/>
    </row>
    <row r="14" ht="26.25" customHeight="1">
      <c r="A14" s="1"/>
      <c r="B14" s="22" t="s">
        <v>5</v>
      </c>
      <c r="C14" s="3"/>
      <c r="D14" s="1"/>
      <c r="E14" s="23" t="str">
        <f>IFERROR(__xludf.DUMMYFUNCTION("SPARKLINE(E19:K19,{""charttype"",""column"";""ymin"",0;""ymax"",COUNTIF($B$29:$B$50,""&lt;&gt;"");""color"",""#b5c99a""})
"),"")</f>
        <v/>
      </c>
      <c r="F14" s="24"/>
      <c r="G14" s="24"/>
      <c r="H14" s="24"/>
      <c r="I14" s="24"/>
      <c r="J14" s="24"/>
      <c r="K14" s="24"/>
      <c r="L14" s="23" t="str">
        <f>IFERROR(__xludf.DUMMYFUNCTION("SPARKLINE(L19:R19,{""charttype"",""column"";""ymin"",0;""ymax"",COUNTIF($B$29:$B$50,""&lt;&gt;"");""color"",""#b5c99a""})
"),"")</f>
        <v/>
      </c>
      <c r="M14" s="24"/>
      <c r="N14" s="24"/>
      <c r="O14" s="24"/>
      <c r="P14" s="24"/>
      <c r="Q14" s="24"/>
      <c r="R14" s="24"/>
      <c r="S14" s="23" t="str">
        <f>IFERROR(__xludf.DUMMYFUNCTION("SPARKLINE(S19:Y19,{""charttype"",""column"";""ymin"",0;""ymax"",COUNTIF($B$29:$B$50,""&lt;&gt;"");""color"",""#b5c99a""})
"),"")</f>
        <v/>
      </c>
      <c r="T14" s="24"/>
      <c r="U14" s="24"/>
      <c r="V14" s="24"/>
      <c r="W14" s="24"/>
      <c r="X14" s="24"/>
      <c r="Y14" s="24"/>
      <c r="Z14" s="23" t="str">
        <f>IFERROR(__xludf.DUMMYFUNCTION("SPARKLINE(Z19:AF19,{""charttype"",""column"";""ymin"",0;""ymax"",COUNTIF($B$29:$B$50,""&lt;&gt;"");""color"",""#b5c99a""})
"),"")</f>
        <v/>
      </c>
      <c r="AA14" s="24"/>
      <c r="AB14" s="24"/>
      <c r="AC14" s="24"/>
      <c r="AD14" s="24"/>
      <c r="AE14" s="24"/>
      <c r="AF14" s="24"/>
      <c r="AG14" s="25" t="str">
        <f>IFERROR(__xludf.DUMMYFUNCTION("SPARKLINE(AG25:AI25,{""charttype"",""column"";""ymin"",0;""ymax"",COUNTIF($B$29:$B$50,""&lt;&gt;"");""color"",""#b5c99a""})
"),"")</f>
        <v/>
      </c>
      <c r="AH14" s="24"/>
      <c r="AI14" s="3"/>
      <c r="AJ14" s="26"/>
      <c r="AK14" s="9"/>
      <c r="AL14" s="10"/>
      <c r="AM14" s="11"/>
    </row>
    <row r="15" ht="26.25" customHeight="1">
      <c r="A15" s="1"/>
      <c r="B15" s="27"/>
      <c r="C15" s="28"/>
      <c r="D15" s="1"/>
      <c r="E15" s="27"/>
      <c r="L15" s="27"/>
      <c r="S15" s="27"/>
      <c r="Z15" s="27"/>
      <c r="AG15" s="27"/>
      <c r="AI15" s="28"/>
      <c r="AJ15" s="26"/>
      <c r="AK15" s="14"/>
      <c r="AM15" s="15"/>
    </row>
    <row r="16" ht="26.25" customHeight="1">
      <c r="A16" s="1"/>
      <c r="B16" s="27"/>
      <c r="C16" s="28"/>
      <c r="D16" s="1"/>
      <c r="E16" s="27"/>
      <c r="L16" s="27"/>
      <c r="S16" s="27"/>
      <c r="Z16" s="27"/>
      <c r="AG16" s="27"/>
      <c r="AI16" s="28"/>
      <c r="AJ16" s="26"/>
      <c r="AK16" s="14"/>
      <c r="AM16" s="15"/>
    </row>
    <row r="17" ht="26.25" customHeight="1">
      <c r="A17" s="1"/>
      <c r="B17" s="7"/>
      <c r="C17" s="8"/>
      <c r="D17" s="1"/>
      <c r="E17" s="27"/>
      <c r="L17" s="27"/>
      <c r="S17" s="27"/>
      <c r="Z17" s="27"/>
      <c r="AG17" s="27"/>
      <c r="AI17" s="28"/>
      <c r="AJ17" s="26"/>
      <c r="AK17" s="14"/>
      <c r="AM17" s="15"/>
    </row>
    <row r="18" ht="26.25" customHeight="1">
      <c r="A18" s="1"/>
      <c r="B18" s="29"/>
      <c r="C18" s="29"/>
      <c r="D18" s="1"/>
      <c r="E18" s="27"/>
      <c r="L18" s="27"/>
      <c r="S18" s="27"/>
      <c r="Z18" s="27"/>
      <c r="AG18" s="7"/>
      <c r="AH18" s="30"/>
      <c r="AI18" s="8"/>
      <c r="AJ18" s="26"/>
      <c r="AK18" s="14"/>
      <c r="AM18" s="15"/>
    </row>
    <row r="19" ht="26.25" customHeight="1">
      <c r="A19" s="1"/>
      <c r="B19" s="31" t="s">
        <v>2</v>
      </c>
      <c r="C19" s="13"/>
      <c r="D19" s="1"/>
      <c r="E19" s="32">
        <f t="shared" ref="E19:AI19" si="2">IF(E28="",,COUNTIF(E28:E50,TRUE))</f>
        <v>2</v>
      </c>
      <c r="F19" s="32">
        <f t="shared" si="2"/>
        <v>2</v>
      </c>
      <c r="G19" s="32">
        <f t="shared" si="2"/>
        <v>2</v>
      </c>
      <c r="H19" s="32">
        <f t="shared" si="2"/>
        <v>2</v>
      </c>
      <c r="I19" s="32">
        <f t="shared" si="2"/>
        <v>2</v>
      </c>
      <c r="J19" s="32">
        <f t="shared" si="2"/>
        <v>1</v>
      </c>
      <c r="K19" s="32">
        <f t="shared" si="2"/>
        <v>0</v>
      </c>
      <c r="L19" s="32">
        <f t="shared" si="2"/>
        <v>0</v>
      </c>
      <c r="M19" s="32">
        <f t="shared" si="2"/>
        <v>0</v>
      </c>
      <c r="N19" s="32">
        <f t="shared" si="2"/>
        <v>0</v>
      </c>
      <c r="O19" s="32">
        <f t="shared" si="2"/>
        <v>0</v>
      </c>
      <c r="P19" s="32">
        <f t="shared" si="2"/>
        <v>0</v>
      </c>
      <c r="Q19" s="32">
        <f t="shared" si="2"/>
        <v>0</v>
      </c>
      <c r="R19" s="32">
        <f t="shared" si="2"/>
        <v>0</v>
      </c>
      <c r="S19" s="32">
        <f t="shared" si="2"/>
        <v>0</v>
      </c>
      <c r="T19" s="32">
        <f t="shared" si="2"/>
        <v>0</v>
      </c>
      <c r="U19" s="32">
        <f t="shared" si="2"/>
        <v>0</v>
      </c>
      <c r="V19" s="32">
        <f t="shared" si="2"/>
        <v>0</v>
      </c>
      <c r="W19" s="32">
        <f t="shared" si="2"/>
        <v>0</v>
      </c>
      <c r="X19" s="32">
        <f t="shared" si="2"/>
        <v>0</v>
      </c>
      <c r="Y19" s="32">
        <f t="shared" si="2"/>
        <v>0</v>
      </c>
      <c r="Z19" s="32">
        <f t="shared" si="2"/>
        <v>0</v>
      </c>
      <c r="AA19" s="32">
        <f t="shared" si="2"/>
        <v>0</v>
      </c>
      <c r="AB19" s="32">
        <f t="shared" si="2"/>
        <v>0</v>
      </c>
      <c r="AC19" s="32">
        <f t="shared" si="2"/>
        <v>0</v>
      </c>
      <c r="AD19" s="32">
        <f t="shared" si="2"/>
        <v>0</v>
      </c>
      <c r="AE19" s="32">
        <f t="shared" si="2"/>
        <v>0</v>
      </c>
      <c r="AF19" s="32">
        <f t="shared" si="2"/>
        <v>0</v>
      </c>
      <c r="AG19" s="32" t="str">
        <f t="shared" si="2"/>
        <v/>
      </c>
      <c r="AH19" s="32" t="str">
        <f t="shared" si="2"/>
        <v/>
      </c>
      <c r="AI19" s="32" t="str">
        <f t="shared" si="2"/>
        <v/>
      </c>
      <c r="AJ19" s="1"/>
      <c r="AK19" s="14"/>
      <c r="AM19" s="15"/>
    </row>
    <row r="20" ht="26.25" customHeight="1">
      <c r="A20" s="1"/>
      <c r="B20" s="31" t="s">
        <v>6</v>
      </c>
      <c r="C20" s="13"/>
      <c r="D20" s="1"/>
      <c r="E20" s="32">
        <f t="shared" ref="E20:AI20" si="3">IF(E28="",,COUNTIF($B$29:$B$50,"&lt;&gt;"))</f>
        <v>6</v>
      </c>
      <c r="F20" s="32">
        <f t="shared" si="3"/>
        <v>6</v>
      </c>
      <c r="G20" s="32">
        <f t="shared" si="3"/>
        <v>6</v>
      </c>
      <c r="H20" s="32">
        <f t="shared" si="3"/>
        <v>6</v>
      </c>
      <c r="I20" s="32">
        <f t="shared" si="3"/>
        <v>6</v>
      </c>
      <c r="J20" s="32">
        <f t="shared" si="3"/>
        <v>6</v>
      </c>
      <c r="K20" s="32">
        <f t="shared" si="3"/>
        <v>6</v>
      </c>
      <c r="L20" s="32">
        <f t="shared" si="3"/>
        <v>6</v>
      </c>
      <c r="M20" s="32">
        <f t="shared" si="3"/>
        <v>6</v>
      </c>
      <c r="N20" s="32">
        <f t="shared" si="3"/>
        <v>6</v>
      </c>
      <c r="O20" s="32">
        <f t="shared" si="3"/>
        <v>6</v>
      </c>
      <c r="P20" s="32">
        <f t="shared" si="3"/>
        <v>6</v>
      </c>
      <c r="Q20" s="32">
        <f t="shared" si="3"/>
        <v>6</v>
      </c>
      <c r="R20" s="32">
        <f t="shared" si="3"/>
        <v>6</v>
      </c>
      <c r="S20" s="32">
        <f t="shared" si="3"/>
        <v>6</v>
      </c>
      <c r="T20" s="32">
        <f t="shared" si="3"/>
        <v>6</v>
      </c>
      <c r="U20" s="32">
        <f t="shared" si="3"/>
        <v>6</v>
      </c>
      <c r="V20" s="32">
        <f t="shared" si="3"/>
        <v>6</v>
      </c>
      <c r="W20" s="32">
        <f t="shared" si="3"/>
        <v>6</v>
      </c>
      <c r="X20" s="32">
        <f t="shared" si="3"/>
        <v>6</v>
      </c>
      <c r="Y20" s="32">
        <f t="shared" si="3"/>
        <v>6</v>
      </c>
      <c r="Z20" s="32">
        <f t="shared" si="3"/>
        <v>6</v>
      </c>
      <c r="AA20" s="32">
        <f t="shared" si="3"/>
        <v>6</v>
      </c>
      <c r="AB20" s="32">
        <f t="shared" si="3"/>
        <v>6</v>
      </c>
      <c r="AC20" s="32">
        <f t="shared" si="3"/>
        <v>6</v>
      </c>
      <c r="AD20" s="32">
        <f t="shared" si="3"/>
        <v>6</v>
      </c>
      <c r="AE20" s="32">
        <f t="shared" si="3"/>
        <v>6</v>
      </c>
      <c r="AF20" s="32">
        <f t="shared" si="3"/>
        <v>6</v>
      </c>
      <c r="AG20" s="32" t="str">
        <f t="shared" si="3"/>
        <v/>
      </c>
      <c r="AH20" s="32" t="str">
        <f t="shared" si="3"/>
        <v/>
      </c>
      <c r="AI20" s="32" t="str">
        <f t="shared" si="3"/>
        <v/>
      </c>
      <c r="AJ20" s="1"/>
      <c r="AK20" s="14"/>
      <c r="AM20" s="15"/>
    </row>
    <row r="21" ht="26.25" customHeight="1">
      <c r="A21" s="1"/>
      <c r="B21" s="31" t="s">
        <v>3</v>
      </c>
      <c r="C21" s="13"/>
      <c r="D21" s="1"/>
      <c r="E21" s="33">
        <f t="shared" ref="E21:AH21" si="4">IF(F28="",,E20-E19)</f>
        <v>4</v>
      </c>
      <c r="F21" s="33">
        <f t="shared" si="4"/>
        <v>4</v>
      </c>
      <c r="G21" s="33">
        <f t="shared" si="4"/>
        <v>4</v>
      </c>
      <c r="H21" s="33">
        <f t="shared" si="4"/>
        <v>4</v>
      </c>
      <c r="I21" s="33">
        <f t="shared" si="4"/>
        <v>4</v>
      </c>
      <c r="J21" s="33">
        <f t="shared" si="4"/>
        <v>5</v>
      </c>
      <c r="K21" s="33">
        <f t="shared" si="4"/>
        <v>6</v>
      </c>
      <c r="L21" s="33">
        <f t="shared" si="4"/>
        <v>6</v>
      </c>
      <c r="M21" s="33">
        <f t="shared" si="4"/>
        <v>6</v>
      </c>
      <c r="N21" s="33">
        <f t="shared" si="4"/>
        <v>6</v>
      </c>
      <c r="O21" s="33">
        <f t="shared" si="4"/>
        <v>6</v>
      </c>
      <c r="P21" s="33">
        <f t="shared" si="4"/>
        <v>6</v>
      </c>
      <c r="Q21" s="33">
        <f t="shared" si="4"/>
        <v>6</v>
      </c>
      <c r="R21" s="33">
        <f t="shared" si="4"/>
        <v>6</v>
      </c>
      <c r="S21" s="33">
        <f t="shared" si="4"/>
        <v>6</v>
      </c>
      <c r="T21" s="33">
        <f t="shared" si="4"/>
        <v>6</v>
      </c>
      <c r="U21" s="33">
        <f t="shared" si="4"/>
        <v>6</v>
      </c>
      <c r="V21" s="33">
        <f t="shared" si="4"/>
        <v>6</v>
      </c>
      <c r="W21" s="33">
        <f t="shared" si="4"/>
        <v>6</v>
      </c>
      <c r="X21" s="33">
        <f t="shared" si="4"/>
        <v>6</v>
      </c>
      <c r="Y21" s="33">
        <f t="shared" si="4"/>
        <v>6</v>
      </c>
      <c r="Z21" s="33">
        <f t="shared" si="4"/>
        <v>6</v>
      </c>
      <c r="AA21" s="33">
        <f t="shared" si="4"/>
        <v>6</v>
      </c>
      <c r="AB21" s="33">
        <f t="shared" si="4"/>
        <v>6</v>
      </c>
      <c r="AC21" s="33">
        <f t="shared" si="4"/>
        <v>6</v>
      </c>
      <c r="AD21" s="33">
        <f t="shared" si="4"/>
        <v>6</v>
      </c>
      <c r="AE21" s="33">
        <f t="shared" si="4"/>
        <v>6</v>
      </c>
      <c r="AF21" s="33" t="str">
        <f t="shared" si="4"/>
        <v/>
      </c>
      <c r="AG21" s="33" t="str">
        <f t="shared" si="4"/>
        <v/>
      </c>
      <c r="AH21" s="33" t="str">
        <f t="shared" si="4"/>
        <v/>
      </c>
      <c r="AI21" s="33">
        <f>(AI20-AI19)</f>
        <v>0</v>
      </c>
      <c r="AJ21" s="1"/>
      <c r="AK21" s="14"/>
      <c r="AM21" s="15"/>
    </row>
    <row r="22" ht="26.25" customHeight="1">
      <c r="A22" s="1"/>
      <c r="B22" s="34"/>
      <c r="C22" s="34"/>
      <c r="D22" s="1"/>
      <c r="E22" s="35" t="str">
        <f>CONCATENATE(SUM(E19:K19),"/",SUM(E20:K20))</f>
        <v>11/42</v>
      </c>
      <c r="F22" s="36"/>
      <c r="G22" s="36"/>
      <c r="H22" s="36"/>
      <c r="I22" s="36"/>
      <c r="J22" s="36"/>
      <c r="K22" s="36"/>
      <c r="L22" s="37" t="str">
        <f>CONCATENATE(SUM(L19:R19),"/",SUM(L20:R20))</f>
        <v>0/42</v>
      </c>
      <c r="M22" s="36"/>
      <c r="N22" s="36"/>
      <c r="O22" s="36"/>
      <c r="P22" s="36"/>
      <c r="Q22" s="36"/>
      <c r="R22" s="36"/>
      <c r="S22" s="38" t="str">
        <f>CONCATENATE(SUM(S19:Y19),"/",SUM(S20:Y20))</f>
        <v>0/42</v>
      </c>
      <c r="T22" s="36"/>
      <c r="U22" s="36"/>
      <c r="V22" s="36"/>
      <c r="W22" s="36"/>
      <c r="X22" s="36"/>
      <c r="Y22" s="36"/>
      <c r="Z22" s="39" t="str">
        <f>CONCATENATE(SUM(Z19:AF19),"/",SUM(Z20:AF20))</f>
        <v>0/42</v>
      </c>
      <c r="AA22" s="36"/>
      <c r="AB22" s="36"/>
      <c r="AC22" s="36"/>
      <c r="AD22" s="36"/>
      <c r="AE22" s="36"/>
      <c r="AF22" s="36"/>
      <c r="AG22" s="40" t="str">
        <f>CONCATENATE(SUM(AG19:AI19),"/",SUM(AG20:AI20))</f>
        <v>0/0</v>
      </c>
      <c r="AH22" s="36"/>
      <c r="AI22" s="13"/>
      <c r="AJ22" s="41"/>
      <c r="AK22" s="14"/>
      <c r="AM22" s="15"/>
    </row>
    <row r="23" ht="26.25" customHeight="1">
      <c r="A23" s="1"/>
      <c r="B23" s="42" t="s">
        <v>7</v>
      </c>
      <c r="C23" s="3"/>
      <c r="D23" s="1"/>
      <c r="E23" s="43">
        <f>IFERROR(SUM(E19:K19)/SUM(E20:K20),0%)</f>
        <v>0.2619047619</v>
      </c>
      <c r="F23" s="36"/>
      <c r="G23" s="36"/>
      <c r="H23" s="36"/>
      <c r="I23" s="36"/>
      <c r="J23" s="36"/>
      <c r="K23" s="36"/>
      <c r="L23" s="44">
        <f>IFERROR(SUM(L19:R19)/SUM(L20:R20),0%)</f>
        <v>0</v>
      </c>
      <c r="M23" s="36"/>
      <c r="N23" s="36"/>
      <c r="O23" s="36"/>
      <c r="P23" s="36"/>
      <c r="Q23" s="36"/>
      <c r="R23" s="36"/>
      <c r="S23" s="45">
        <f>IFERROR(SUM(S19:Y19)/SUM(S20:Y20),0%)</f>
        <v>0</v>
      </c>
      <c r="T23" s="36"/>
      <c r="U23" s="36"/>
      <c r="V23" s="36"/>
      <c r="W23" s="36"/>
      <c r="X23" s="36"/>
      <c r="Y23" s="36"/>
      <c r="Z23" s="46">
        <f>IFERROR(SUM(Z19:AF19)/SUM(Z20:AF20),0%)</f>
        <v>0</v>
      </c>
      <c r="AA23" s="36"/>
      <c r="AB23" s="36"/>
      <c r="AC23" s="36"/>
      <c r="AD23" s="36"/>
      <c r="AE23" s="36"/>
      <c r="AF23" s="36"/>
      <c r="AG23" s="47">
        <f>IFERROR(SUM(AG19:AI19)/SUM(AG20:AI20),0%)</f>
        <v>0</v>
      </c>
      <c r="AH23" s="36"/>
      <c r="AI23" s="13"/>
      <c r="AJ23" s="48"/>
      <c r="AK23" s="14"/>
      <c r="AM23" s="15"/>
    </row>
    <row r="24" ht="26.25" customHeight="1">
      <c r="A24" s="1"/>
      <c r="B24" s="7"/>
      <c r="C24" s="8"/>
      <c r="D24" s="1"/>
      <c r="E24" s="49" t="str">
        <f>IFERROR(__xludf.DUMMYFUNCTION("SPARKLINE(E23, {""charttype"",""bar"";""max"",1;""color1"",""#bfc99a""})
"),"")</f>
        <v/>
      </c>
      <c r="F24" s="36"/>
      <c r="G24" s="36"/>
      <c r="H24" s="36"/>
      <c r="I24" s="36"/>
      <c r="J24" s="36"/>
      <c r="K24" s="13"/>
      <c r="L24" s="49" t="str">
        <f>IFERROR(__xludf.DUMMYFUNCTION("SPARKLINE(L23, {""charttype"",""bar"";""max"",1;""color1"",""#bfc99a""})
"),"")</f>
        <v/>
      </c>
      <c r="M24" s="36"/>
      <c r="N24" s="36"/>
      <c r="O24" s="36"/>
      <c r="P24" s="36"/>
      <c r="Q24" s="36"/>
      <c r="R24" s="13"/>
      <c r="S24" s="49" t="str">
        <f>IFERROR(__xludf.DUMMYFUNCTION("SPARKLINE(S23, {""charttype"",""bar"";""max"",1;""color1"",""#bfc99a""})
"),"")</f>
        <v/>
      </c>
      <c r="T24" s="36"/>
      <c r="U24" s="36"/>
      <c r="V24" s="36"/>
      <c r="W24" s="36"/>
      <c r="X24" s="36"/>
      <c r="Y24" s="13"/>
      <c r="Z24" s="49" t="str">
        <f>IFERROR(__xludf.DUMMYFUNCTION("SPARKLINE(Z23, {""charttype"",""bar"";""max"",1;""color1"",""#bfc99a""})
"),"")</f>
        <v/>
      </c>
      <c r="AA24" s="36"/>
      <c r="AB24" s="36"/>
      <c r="AC24" s="36"/>
      <c r="AD24" s="36"/>
      <c r="AE24" s="36"/>
      <c r="AF24" s="13"/>
      <c r="AG24" s="50" t="str">
        <f>IFERROR(__xludf.DUMMYFUNCTION("SPARKLINE(AG23, {""charttype"",""bar"";""max"",1;""color1"",""#bfc99a""})
"),"")</f>
        <v/>
      </c>
      <c r="AH24" s="36"/>
      <c r="AI24" s="13"/>
      <c r="AJ24" s="26"/>
      <c r="AK24" s="19"/>
      <c r="AL24" s="10"/>
      <c r="AM24" s="11"/>
    </row>
    <row r="25" ht="26.25" customHeight="1">
      <c r="A25" s="1"/>
      <c r="B25" s="1"/>
      <c r="C25" s="1"/>
      <c r="D25" s="1"/>
      <c r="E25" s="1"/>
      <c r="F25" s="1"/>
      <c r="H25" s="1"/>
      <c r="J25" s="1"/>
      <c r="L25" s="1"/>
      <c r="N25" s="1"/>
      <c r="P25" s="1"/>
      <c r="R25" s="1"/>
      <c r="T25" s="1"/>
      <c r="V25" s="1"/>
      <c r="X25" s="1"/>
      <c r="Z25" s="1"/>
      <c r="AB25" s="1"/>
      <c r="AD25" s="1"/>
      <c r="AF25" s="1"/>
      <c r="AG25" s="51">
        <f t="shared" ref="AG25:AI25" si="5">IF(AG19="",0,AG19)</f>
        <v>0</v>
      </c>
      <c r="AH25" s="51">
        <f t="shared" si="5"/>
        <v>0</v>
      </c>
      <c r="AI25" s="51">
        <f t="shared" si="5"/>
        <v>0</v>
      </c>
      <c r="AJ25" s="1"/>
      <c r="AK25" s="26"/>
    </row>
    <row r="26" ht="26.25" customHeight="1">
      <c r="A26" s="1"/>
      <c r="B26" s="52" t="s">
        <v>8</v>
      </c>
      <c r="C26" s="53" t="s">
        <v>9</v>
      </c>
      <c r="D26" s="1"/>
      <c r="E26" s="54"/>
      <c r="F26" s="24"/>
      <c r="G26" s="24"/>
      <c r="H26" s="24"/>
      <c r="I26" s="24"/>
      <c r="J26" s="24"/>
      <c r="K26" s="24"/>
      <c r="L26" s="55"/>
      <c r="M26" s="24"/>
      <c r="N26" s="24"/>
      <c r="O26" s="24"/>
      <c r="P26" s="24"/>
      <c r="Q26" s="24"/>
      <c r="R26" s="24"/>
      <c r="S26" s="56"/>
      <c r="T26" s="24"/>
      <c r="U26" s="24"/>
      <c r="V26" s="24"/>
      <c r="W26" s="24"/>
      <c r="X26" s="24"/>
      <c r="Y26" s="24"/>
      <c r="Z26" s="57"/>
      <c r="AA26" s="24"/>
      <c r="AB26" s="24"/>
      <c r="AC26" s="24"/>
      <c r="AD26" s="24"/>
      <c r="AE26" s="24"/>
      <c r="AF26" s="24"/>
      <c r="AG26" s="58"/>
      <c r="AH26" s="24"/>
      <c r="AI26" s="24"/>
      <c r="AJ26" s="1"/>
      <c r="AK26" s="59" t="s">
        <v>10</v>
      </c>
      <c r="AL26" s="24"/>
      <c r="AM26" s="3"/>
    </row>
    <row r="27" ht="26.25" customHeight="1">
      <c r="A27" s="1"/>
      <c r="B27" s="60"/>
      <c r="C27" s="60"/>
      <c r="D27" s="1"/>
      <c r="E27" s="61" t="str">
        <f t="shared" ref="E27:AI27" si="6">IF(E28="","",TEXT(DATE(YEAR($B$2),MONTH($B$2),E28),"ddd"))</f>
        <v>Sun</v>
      </c>
      <c r="F27" s="61" t="str">
        <f t="shared" si="6"/>
        <v>Mon</v>
      </c>
      <c r="G27" s="61" t="str">
        <f t="shared" si="6"/>
        <v>Tue</v>
      </c>
      <c r="H27" s="61" t="str">
        <f t="shared" si="6"/>
        <v>Wed</v>
      </c>
      <c r="I27" s="61" t="str">
        <f t="shared" si="6"/>
        <v>Thu</v>
      </c>
      <c r="J27" s="61" t="str">
        <f t="shared" si="6"/>
        <v>Fri</v>
      </c>
      <c r="K27" s="61" t="str">
        <f t="shared" si="6"/>
        <v>Sat</v>
      </c>
      <c r="L27" s="61" t="str">
        <f t="shared" si="6"/>
        <v>Sun</v>
      </c>
      <c r="M27" s="61" t="str">
        <f t="shared" si="6"/>
        <v>Mon</v>
      </c>
      <c r="N27" s="61" t="str">
        <f t="shared" si="6"/>
        <v>Tue</v>
      </c>
      <c r="O27" s="61" t="str">
        <f t="shared" si="6"/>
        <v>Wed</v>
      </c>
      <c r="P27" s="61" t="str">
        <f t="shared" si="6"/>
        <v>Thu</v>
      </c>
      <c r="Q27" s="61" t="str">
        <f t="shared" si="6"/>
        <v>Fri</v>
      </c>
      <c r="R27" s="61" t="str">
        <f t="shared" si="6"/>
        <v>Sat</v>
      </c>
      <c r="S27" s="61" t="str">
        <f t="shared" si="6"/>
        <v>Sun</v>
      </c>
      <c r="T27" s="61" t="str">
        <f t="shared" si="6"/>
        <v>Mon</v>
      </c>
      <c r="U27" s="61" t="str">
        <f t="shared" si="6"/>
        <v>Tue</v>
      </c>
      <c r="V27" s="61" t="str">
        <f t="shared" si="6"/>
        <v>Wed</v>
      </c>
      <c r="W27" s="61" t="str">
        <f t="shared" si="6"/>
        <v>Thu</v>
      </c>
      <c r="X27" s="61" t="str">
        <f t="shared" si="6"/>
        <v>Fri</v>
      </c>
      <c r="Y27" s="61" t="str">
        <f t="shared" si="6"/>
        <v>Sat</v>
      </c>
      <c r="Z27" s="61" t="str">
        <f t="shared" si="6"/>
        <v>Sun</v>
      </c>
      <c r="AA27" s="61" t="str">
        <f t="shared" si="6"/>
        <v>Mon</v>
      </c>
      <c r="AB27" s="61" t="str">
        <f t="shared" si="6"/>
        <v>Tue</v>
      </c>
      <c r="AC27" s="61" t="str">
        <f t="shared" si="6"/>
        <v>Wed</v>
      </c>
      <c r="AD27" s="61" t="str">
        <f t="shared" si="6"/>
        <v>Thu</v>
      </c>
      <c r="AE27" s="61" t="str">
        <f t="shared" si="6"/>
        <v>Fri</v>
      </c>
      <c r="AF27" s="61" t="str">
        <f t="shared" si="6"/>
        <v>Sat</v>
      </c>
      <c r="AG27" s="61" t="str">
        <f t="shared" si="6"/>
        <v/>
      </c>
      <c r="AH27" s="61" t="str">
        <f t="shared" si="6"/>
        <v/>
      </c>
      <c r="AI27" s="61" t="str">
        <f t="shared" si="6"/>
        <v/>
      </c>
      <c r="AJ27" s="1"/>
      <c r="AK27" s="27"/>
      <c r="AM27" s="28"/>
    </row>
    <row r="28" ht="26.25" customHeight="1">
      <c r="A28" s="1"/>
      <c r="B28" s="62"/>
      <c r="C28" s="62"/>
      <c r="D28" s="1"/>
      <c r="E28" s="63">
        <f t="shared" ref="E28:AI28" si="7">IF(COLUMN()-COLUMN($E$28)+1&lt;=DAY(EOMONTH($B$2,0)),COLUMN()-COLUMN($E$28)+1,"")</f>
        <v>1</v>
      </c>
      <c r="F28" s="63">
        <f t="shared" si="7"/>
        <v>2</v>
      </c>
      <c r="G28" s="63">
        <f t="shared" si="7"/>
        <v>3</v>
      </c>
      <c r="H28" s="63">
        <f t="shared" si="7"/>
        <v>4</v>
      </c>
      <c r="I28" s="63">
        <f t="shared" si="7"/>
        <v>5</v>
      </c>
      <c r="J28" s="63">
        <f t="shared" si="7"/>
        <v>6</v>
      </c>
      <c r="K28" s="63">
        <f t="shared" si="7"/>
        <v>7</v>
      </c>
      <c r="L28" s="63">
        <f t="shared" si="7"/>
        <v>8</v>
      </c>
      <c r="M28" s="63">
        <f t="shared" si="7"/>
        <v>9</v>
      </c>
      <c r="N28" s="63">
        <f t="shared" si="7"/>
        <v>10</v>
      </c>
      <c r="O28" s="63">
        <f t="shared" si="7"/>
        <v>11</v>
      </c>
      <c r="P28" s="63">
        <f t="shared" si="7"/>
        <v>12</v>
      </c>
      <c r="Q28" s="63">
        <f t="shared" si="7"/>
        <v>13</v>
      </c>
      <c r="R28" s="63">
        <f t="shared" si="7"/>
        <v>14</v>
      </c>
      <c r="S28" s="63">
        <f t="shared" si="7"/>
        <v>15</v>
      </c>
      <c r="T28" s="63">
        <f t="shared" si="7"/>
        <v>16</v>
      </c>
      <c r="U28" s="63">
        <f t="shared" si="7"/>
        <v>17</v>
      </c>
      <c r="V28" s="63">
        <f t="shared" si="7"/>
        <v>18</v>
      </c>
      <c r="W28" s="63">
        <f t="shared" si="7"/>
        <v>19</v>
      </c>
      <c r="X28" s="63">
        <f t="shared" si="7"/>
        <v>20</v>
      </c>
      <c r="Y28" s="63">
        <f t="shared" si="7"/>
        <v>21</v>
      </c>
      <c r="Z28" s="63">
        <f t="shared" si="7"/>
        <v>22</v>
      </c>
      <c r="AA28" s="63">
        <f t="shared" si="7"/>
        <v>23</v>
      </c>
      <c r="AB28" s="63">
        <f t="shared" si="7"/>
        <v>24</v>
      </c>
      <c r="AC28" s="63">
        <f t="shared" si="7"/>
        <v>25</v>
      </c>
      <c r="AD28" s="63">
        <f t="shared" si="7"/>
        <v>26</v>
      </c>
      <c r="AE28" s="63">
        <f t="shared" si="7"/>
        <v>27</v>
      </c>
      <c r="AF28" s="63">
        <f t="shared" si="7"/>
        <v>28</v>
      </c>
      <c r="AG28" s="63" t="str">
        <f t="shared" si="7"/>
        <v/>
      </c>
      <c r="AH28" s="63" t="str">
        <f t="shared" si="7"/>
        <v/>
      </c>
      <c r="AI28" s="63" t="str">
        <f t="shared" si="7"/>
        <v/>
      </c>
      <c r="AJ28" s="1"/>
      <c r="AK28" s="7"/>
      <c r="AL28" s="30"/>
      <c r="AM28" s="8"/>
    </row>
    <row r="29" ht="26.25" customHeight="1">
      <c r="A29" s="1"/>
      <c r="B29" s="64" t="s">
        <v>11</v>
      </c>
      <c r="C29" s="65">
        <v>30.0</v>
      </c>
      <c r="D29" s="66"/>
      <c r="E29" s="67" t="b">
        <v>1</v>
      </c>
      <c r="F29" s="67" t="b">
        <v>1</v>
      </c>
      <c r="G29" s="67" t="b">
        <v>1</v>
      </c>
      <c r="H29" s="67" t="b">
        <v>1</v>
      </c>
      <c r="I29" s="67" t="b">
        <v>1</v>
      </c>
      <c r="J29" s="67" t="b">
        <v>1</v>
      </c>
      <c r="K29" s="67" t="b">
        <v>0</v>
      </c>
      <c r="L29" s="67" t="b">
        <v>0</v>
      </c>
      <c r="M29" s="67" t="b">
        <v>0</v>
      </c>
      <c r="N29" s="67" t="b">
        <v>0</v>
      </c>
      <c r="O29" s="67" t="b">
        <v>0</v>
      </c>
      <c r="P29" s="67" t="b">
        <v>0</v>
      </c>
      <c r="Q29" s="67" t="b">
        <v>0</v>
      </c>
      <c r="R29" s="67" t="b">
        <v>0</v>
      </c>
      <c r="S29" s="67" t="b">
        <v>0</v>
      </c>
      <c r="T29" s="67" t="b">
        <v>0</v>
      </c>
      <c r="U29" s="67" t="b">
        <v>0</v>
      </c>
      <c r="V29" s="67" t="b">
        <v>0</v>
      </c>
      <c r="W29" s="67" t="b">
        <v>0</v>
      </c>
      <c r="X29" s="67" t="b">
        <v>0</v>
      </c>
      <c r="Y29" s="67" t="b">
        <v>0</v>
      </c>
      <c r="Z29" s="67" t="b">
        <v>0</v>
      </c>
      <c r="AA29" s="67" t="b">
        <v>0</v>
      </c>
      <c r="AB29" s="67" t="b">
        <v>0</v>
      </c>
      <c r="AC29" s="67" t="b">
        <v>0</v>
      </c>
      <c r="AD29" s="67" t="b">
        <v>0</v>
      </c>
      <c r="AE29" s="67" t="b">
        <v>0</v>
      </c>
      <c r="AF29" s="67" t="b">
        <v>0</v>
      </c>
      <c r="AG29" s="67" t="b">
        <v>0</v>
      </c>
      <c r="AH29" s="67" t="b">
        <v>0</v>
      </c>
      <c r="AI29" s="67" t="b">
        <v>0</v>
      </c>
      <c r="AJ29" s="68"/>
      <c r="AK29" s="69" t="str">
        <f t="shared" ref="AK29:AK50" si="8">COUNTIF(E29:AI29, TRUE) &amp; " / " &amp; COUNTA(E29:AI29)</f>
        <v>6 / 31</v>
      </c>
      <c r="AL29" s="70">
        <f t="shared" ref="AL29:AL50" si="9">COUNTIF(E29:AI29, TRUE) / COUNTA(E29:AI29)</f>
        <v>0.1935483871</v>
      </c>
      <c r="AM29" s="71" t="str">
        <f>IFERROR(__xludf.DUMMYFUNCTION("SPARKLINE(AL29, {""charttype"",""bar"";""max"",1;""color1"",""#bfc99a""})
"),"")</f>
        <v/>
      </c>
    </row>
    <row r="30" ht="26.25" customHeight="1">
      <c r="A30" s="1"/>
      <c r="B30" s="64" t="s">
        <v>12</v>
      </c>
      <c r="C30" s="65">
        <v>30.0</v>
      </c>
      <c r="D30" s="66"/>
      <c r="E30" s="67" t="b">
        <v>1</v>
      </c>
      <c r="F30" s="67" t="b">
        <v>0</v>
      </c>
      <c r="G30" s="67" t="b">
        <v>0</v>
      </c>
      <c r="H30" s="67" t="b">
        <v>0</v>
      </c>
      <c r="I30" s="67" t="b">
        <v>0</v>
      </c>
      <c r="J30" s="67" t="b">
        <v>0</v>
      </c>
      <c r="K30" s="67" t="b">
        <v>0</v>
      </c>
      <c r="L30" s="72" t="b">
        <v>0</v>
      </c>
      <c r="M30" s="72" t="b">
        <v>0</v>
      </c>
      <c r="N30" s="72" t="b">
        <v>0</v>
      </c>
      <c r="O30" s="72" t="b">
        <v>0</v>
      </c>
      <c r="P30" s="72" t="b">
        <v>0</v>
      </c>
      <c r="Q30" s="72" t="b">
        <v>0</v>
      </c>
      <c r="R30" s="72" t="b">
        <v>0</v>
      </c>
      <c r="S30" s="73" t="b">
        <v>0</v>
      </c>
      <c r="T30" s="73" t="b">
        <v>0</v>
      </c>
      <c r="U30" s="73" t="b">
        <v>0</v>
      </c>
      <c r="V30" s="73" t="b">
        <v>0</v>
      </c>
      <c r="W30" s="73" t="b">
        <v>0</v>
      </c>
      <c r="X30" s="73" t="b">
        <v>0</v>
      </c>
      <c r="Y30" s="73" t="b">
        <v>0</v>
      </c>
      <c r="Z30" s="74" t="b">
        <v>0</v>
      </c>
      <c r="AA30" s="74" t="b">
        <v>0</v>
      </c>
      <c r="AB30" s="74" t="b">
        <v>0</v>
      </c>
      <c r="AC30" s="74" t="b">
        <v>0</v>
      </c>
      <c r="AD30" s="74" t="b">
        <v>0</v>
      </c>
      <c r="AE30" s="74" t="b">
        <v>0</v>
      </c>
      <c r="AF30" s="74" t="b">
        <v>0</v>
      </c>
      <c r="AG30" s="75" t="b">
        <v>0</v>
      </c>
      <c r="AH30" s="75" t="b">
        <v>0</v>
      </c>
      <c r="AI30" s="75" t="b">
        <v>0</v>
      </c>
      <c r="AJ30" s="68"/>
      <c r="AK30" s="69" t="str">
        <f t="shared" si="8"/>
        <v>1 / 31</v>
      </c>
      <c r="AL30" s="70">
        <f t="shared" si="9"/>
        <v>0.03225806452</v>
      </c>
      <c r="AM30" s="71" t="str">
        <f>IFERROR(__xludf.DUMMYFUNCTION("SPARKLINE(AL30, {""charttype"",""bar"";""max"",1;""color1"",""#bfc99a""})
"),"")</f>
        <v/>
      </c>
    </row>
    <row r="31" ht="26.25" customHeight="1">
      <c r="A31" s="1"/>
      <c r="B31" s="64" t="s">
        <v>13</v>
      </c>
      <c r="C31" s="65">
        <v>28.0</v>
      </c>
      <c r="D31" s="66"/>
      <c r="E31" s="67" t="b">
        <v>0</v>
      </c>
      <c r="F31" s="67" t="b">
        <v>0</v>
      </c>
      <c r="G31" s="67" t="b">
        <v>1</v>
      </c>
      <c r="H31" s="67" t="b">
        <v>0</v>
      </c>
      <c r="I31" s="67" t="b">
        <v>1</v>
      </c>
      <c r="J31" s="67" t="b">
        <v>0</v>
      </c>
      <c r="K31" s="67" t="b">
        <v>0</v>
      </c>
      <c r="L31" s="72" t="b">
        <v>0</v>
      </c>
      <c r="M31" s="72" t="b">
        <v>0</v>
      </c>
      <c r="N31" s="72" t="b">
        <v>0</v>
      </c>
      <c r="O31" s="72" t="b">
        <v>0</v>
      </c>
      <c r="P31" s="72" t="b">
        <v>0</v>
      </c>
      <c r="Q31" s="72" t="b">
        <v>0</v>
      </c>
      <c r="R31" s="72" t="b">
        <v>0</v>
      </c>
      <c r="S31" s="73" t="b">
        <v>0</v>
      </c>
      <c r="T31" s="73" t="b">
        <v>0</v>
      </c>
      <c r="U31" s="73" t="b">
        <v>0</v>
      </c>
      <c r="V31" s="73" t="b">
        <v>0</v>
      </c>
      <c r="W31" s="73" t="b">
        <v>0</v>
      </c>
      <c r="X31" s="73" t="b">
        <v>0</v>
      </c>
      <c r="Y31" s="73" t="b">
        <v>0</v>
      </c>
      <c r="Z31" s="74" t="b">
        <v>0</v>
      </c>
      <c r="AA31" s="74" t="b">
        <v>0</v>
      </c>
      <c r="AB31" s="74" t="b">
        <v>0</v>
      </c>
      <c r="AC31" s="74" t="b">
        <v>0</v>
      </c>
      <c r="AD31" s="74" t="b">
        <v>0</v>
      </c>
      <c r="AE31" s="74" t="b">
        <v>0</v>
      </c>
      <c r="AF31" s="74" t="b">
        <v>0</v>
      </c>
      <c r="AG31" s="75" t="b">
        <v>0</v>
      </c>
      <c r="AH31" s="75" t="b">
        <v>0</v>
      </c>
      <c r="AI31" s="75" t="b">
        <v>0</v>
      </c>
      <c r="AJ31" s="68"/>
      <c r="AK31" s="69" t="str">
        <f t="shared" si="8"/>
        <v>2 / 31</v>
      </c>
      <c r="AL31" s="70">
        <f t="shared" si="9"/>
        <v>0.06451612903</v>
      </c>
      <c r="AM31" s="71" t="str">
        <f>IFERROR(__xludf.DUMMYFUNCTION("SPARKLINE(AL31, {""charttype"",""bar"";""max"",1;""color1"",""#bfc99a""})
"),"")</f>
        <v/>
      </c>
    </row>
    <row r="32" ht="26.25" customHeight="1">
      <c r="A32" s="1"/>
      <c r="B32" s="64" t="s">
        <v>14</v>
      </c>
      <c r="C32" s="65">
        <v>30.0</v>
      </c>
      <c r="D32" s="66"/>
      <c r="E32" s="67" t="b">
        <v>0</v>
      </c>
      <c r="F32" s="67" t="b">
        <v>1</v>
      </c>
      <c r="G32" s="67" t="b">
        <v>0</v>
      </c>
      <c r="H32" s="67" t="b">
        <v>1</v>
      </c>
      <c r="I32" s="67" t="b">
        <v>0</v>
      </c>
      <c r="J32" s="67" t="b">
        <v>0</v>
      </c>
      <c r="K32" s="67" t="b">
        <v>0</v>
      </c>
      <c r="L32" s="72" t="b">
        <v>0</v>
      </c>
      <c r="M32" s="72" t="b">
        <v>0</v>
      </c>
      <c r="N32" s="72" t="b">
        <v>0</v>
      </c>
      <c r="O32" s="72" t="b">
        <v>0</v>
      </c>
      <c r="P32" s="72" t="b">
        <v>0</v>
      </c>
      <c r="Q32" s="72" t="b">
        <v>0</v>
      </c>
      <c r="R32" s="72" t="b">
        <v>0</v>
      </c>
      <c r="S32" s="73" t="b">
        <v>0</v>
      </c>
      <c r="T32" s="73" t="b">
        <v>0</v>
      </c>
      <c r="U32" s="73" t="b">
        <v>0</v>
      </c>
      <c r="V32" s="73" t="b">
        <v>0</v>
      </c>
      <c r="W32" s="73" t="b">
        <v>0</v>
      </c>
      <c r="X32" s="73" t="b">
        <v>0</v>
      </c>
      <c r="Y32" s="73" t="b">
        <v>0</v>
      </c>
      <c r="Z32" s="74" t="b">
        <v>0</v>
      </c>
      <c r="AA32" s="74" t="b">
        <v>0</v>
      </c>
      <c r="AB32" s="74" t="b">
        <v>0</v>
      </c>
      <c r="AC32" s="74" t="b">
        <v>0</v>
      </c>
      <c r="AD32" s="74" t="b">
        <v>0</v>
      </c>
      <c r="AE32" s="74" t="b">
        <v>0</v>
      </c>
      <c r="AF32" s="74" t="b">
        <v>0</v>
      </c>
      <c r="AG32" s="75" t="b">
        <v>0</v>
      </c>
      <c r="AH32" s="75" t="b">
        <v>0</v>
      </c>
      <c r="AI32" s="75" t="b">
        <v>0</v>
      </c>
      <c r="AJ32" s="68"/>
      <c r="AK32" s="69" t="str">
        <f t="shared" si="8"/>
        <v>2 / 31</v>
      </c>
      <c r="AL32" s="70">
        <f t="shared" si="9"/>
        <v>0.06451612903</v>
      </c>
      <c r="AM32" s="71" t="str">
        <f>IFERROR(__xludf.DUMMYFUNCTION("SPARKLINE(AL32, {""charttype"",""bar"";""max"",1;""color1"",""#bfc99a""})
"),"")</f>
        <v/>
      </c>
    </row>
    <row r="33" ht="26.25" customHeight="1">
      <c r="A33" s="1"/>
      <c r="B33" s="64" t="s">
        <v>15</v>
      </c>
      <c r="C33" s="65">
        <v>30.0</v>
      </c>
      <c r="D33" s="66"/>
      <c r="E33" s="67" t="b">
        <v>0</v>
      </c>
      <c r="F33" s="67" t="b">
        <v>0</v>
      </c>
      <c r="G33" s="67" t="b">
        <v>0</v>
      </c>
      <c r="H33" s="67" t="b">
        <v>0</v>
      </c>
      <c r="I33" s="67" t="b">
        <v>0</v>
      </c>
      <c r="J33" s="67" t="b">
        <v>0</v>
      </c>
      <c r="K33" s="67" t="b">
        <v>0</v>
      </c>
      <c r="L33" s="72" t="b">
        <v>0</v>
      </c>
      <c r="M33" s="72" t="b">
        <v>0</v>
      </c>
      <c r="N33" s="72" t="b">
        <v>0</v>
      </c>
      <c r="O33" s="72" t="b">
        <v>0</v>
      </c>
      <c r="P33" s="72" t="b">
        <v>0</v>
      </c>
      <c r="Q33" s="72" t="b">
        <v>0</v>
      </c>
      <c r="R33" s="72" t="b">
        <v>0</v>
      </c>
      <c r="S33" s="73" t="b">
        <v>0</v>
      </c>
      <c r="T33" s="73" t="b">
        <v>0</v>
      </c>
      <c r="U33" s="73" t="b">
        <v>0</v>
      </c>
      <c r="V33" s="73" t="b">
        <v>0</v>
      </c>
      <c r="W33" s="73" t="b">
        <v>0</v>
      </c>
      <c r="X33" s="73" t="b">
        <v>0</v>
      </c>
      <c r="Y33" s="73" t="b">
        <v>0</v>
      </c>
      <c r="Z33" s="74" t="b">
        <v>0</v>
      </c>
      <c r="AA33" s="74" t="b">
        <v>0</v>
      </c>
      <c r="AB33" s="74" t="b">
        <v>0</v>
      </c>
      <c r="AC33" s="74" t="b">
        <v>0</v>
      </c>
      <c r="AD33" s="74" t="b">
        <v>0</v>
      </c>
      <c r="AE33" s="74" t="b">
        <v>0</v>
      </c>
      <c r="AF33" s="74" t="b">
        <v>0</v>
      </c>
      <c r="AG33" s="75" t="b">
        <v>0</v>
      </c>
      <c r="AH33" s="75" t="b">
        <v>0</v>
      </c>
      <c r="AI33" s="75" t="b">
        <v>0</v>
      </c>
      <c r="AJ33" s="68"/>
      <c r="AK33" s="69" t="str">
        <f t="shared" si="8"/>
        <v>0 / 31</v>
      </c>
      <c r="AL33" s="70">
        <f t="shared" si="9"/>
        <v>0</v>
      </c>
      <c r="AM33" s="71" t="str">
        <f>IFERROR(__xludf.DUMMYFUNCTION("SPARKLINE(AL33, {""charttype"",""bar"";""max"",1;""color1"",""#bfc99a""})
"),"")</f>
        <v/>
      </c>
    </row>
    <row r="34" ht="26.25" customHeight="1">
      <c r="A34" s="1"/>
      <c r="B34" s="64" t="s">
        <v>16</v>
      </c>
      <c r="C34" s="65">
        <v>30.0</v>
      </c>
      <c r="D34" s="66"/>
      <c r="E34" s="67" t="b">
        <v>0</v>
      </c>
      <c r="F34" s="67" t="b">
        <v>0</v>
      </c>
      <c r="G34" s="67" t="b">
        <v>0</v>
      </c>
      <c r="H34" s="67" t="b">
        <v>0</v>
      </c>
      <c r="I34" s="67" t="b">
        <v>0</v>
      </c>
      <c r="J34" s="67" t="b">
        <v>0</v>
      </c>
      <c r="K34" s="67" t="b">
        <v>0</v>
      </c>
      <c r="L34" s="72" t="b">
        <v>0</v>
      </c>
      <c r="M34" s="72" t="b">
        <v>0</v>
      </c>
      <c r="N34" s="72" t="b">
        <v>0</v>
      </c>
      <c r="O34" s="72" t="b">
        <v>0</v>
      </c>
      <c r="P34" s="72" t="b">
        <v>0</v>
      </c>
      <c r="Q34" s="72" t="b">
        <v>0</v>
      </c>
      <c r="R34" s="72" t="b">
        <v>0</v>
      </c>
      <c r="S34" s="73" t="b">
        <v>0</v>
      </c>
      <c r="T34" s="73" t="b">
        <v>0</v>
      </c>
      <c r="U34" s="73" t="b">
        <v>0</v>
      </c>
      <c r="V34" s="73" t="b">
        <v>0</v>
      </c>
      <c r="W34" s="73" t="b">
        <v>0</v>
      </c>
      <c r="X34" s="73" t="b">
        <v>0</v>
      </c>
      <c r="Y34" s="73" t="b">
        <v>0</v>
      </c>
      <c r="Z34" s="74" t="b">
        <v>0</v>
      </c>
      <c r="AA34" s="74" t="b">
        <v>0</v>
      </c>
      <c r="AB34" s="74" t="b">
        <v>0</v>
      </c>
      <c r="AC34" s="74" t="b">
        <v>0</v>
      </c>
      <c r="AD34" s="74" t="b">
        <v>0</v>
      </c>
      <c r="AE34" s="74" t="b">
        <v>0</v>
      </c>
      <c r="AF34" s="74" t="b">
        <v>0</v>
      </c>
      <c r="AG34" s="75" t="b">
        <v>0</v>
      </c>
      <c r="AH34" s="75" t="b">
        <v>0</v>
      </c>
      <c r="AI34" s="75" t="b">
        <v>0</v>
      </c>
      <c r="AJ34" s="68"/>
      <c r="AK34" s="69" t="str">
        <f t="shared" si="8"/>
        <v>0 / 31</v>
      </c>
      <c r="AL34" s="70">
        <f t="shared" si="9"/>
        <v>0</v>
      </c>
      <c r="AM34" s="71" t="str">
        <f>IFERROR(__xludf.DUMMYFUNCTION("SPARKLINE(AL34, {""charttype"",""bar"";""max"",1;""color1"",""#bfc99a""})
"),"")</f>
        <v/>
      </c>
    </row>
    <row r="35" ht="26.25" customHeight="1">
      <c r="A35" s="1"/>
      <c r="B35" s="64"/>
      <c r="C35" s="76"/>
      <c r="D35" s="66"/>
      <c r="E35" s="67" t="b">
        <v>0</v>
      </c>
      <c r="F35" s="67" t="b">
        <v>0</v>
      </c>
      <c r="G35" s="67" t="b">
        <v>0</v>
      </c>
      <c r="H35" s="67" t="b">
        <v>0</v>
      </c>
      <c r="I35" s="67" t="b">
        <v>0</v>
      </c>
      <c r="J35" s="67" t="b">
        <v>0</v>
      </c>
      <c r="K35" s="67" t="b">
        <v>0</v>
      </c>
      <c r="L35" s="72" t="b">
        <v>0</v>
      </c>
      <c r="M35" s="72" t="b">
        <v>0</v>
      </c>
      <c r="N35" s="72" t="b">
        <v>0</v>
      </c>
      <c r="O35" s="72" t="b">
        <v>0</v>
      </c>
      <c r="P35" s="72" t="b">
        <v>0</v>
      </c>
      <c r="Q35" s="72" t="b">
        <v>0</v>
      </c>
      <c r="R35" s="72" t="b">
        <v>0</v>
      </c>
      <c r="S35" s="73" t="b">
        <v>0</v>
      </c>
      <c r="T35" s="73" t="b">
        <v>0</v>
      </c>
      <c r="U35" s="73" t="b">
        <v>0</v>
      </c>
      <c r="V35" s="73" t="b">
        <v>0</v>
      </c>
      <c r="W35" s="73" t="b">
        <v>0</v>
      </c>
      <c r="X35" s="73" t="b">
        <v>0</v>
      </c>
      <c r="Y35" s="73" t="b">
        <v>0</v>
      </c>
      <c r="Z35" s="74" t="b">
        <v>0</v>
      </c>
      <c r="AA35" s="74" t="b">
        <v>0</v>
      </c>
      <c r="AB35" s="74" t="b">
        <v>0</v>
      </c>
      <c r="AC35" s="74" t="b">
        <v>0</v>
      </c>
      <c r="AD35" s="74" t="b">
        <v>0</v>
      </c>
      <c r="AE35" s="74" t="b">
        <v>0</v>
      </c>
      <c r="AF35" s="74" t="b">
        <v>0</v>
      </c>
      <c r="AG35" s="75" t="b">
        <v>0</v>
      </c>
      <c r="AH35" s="75" t="b">
        <v>0</v>
      </c>
      <c r="AI35" s="75" t="b">
        <v>0</v>
      </c>
      <c r="AJ35" s="68"/>
      <c r="AK35" s="69" t="str">
        <f t="shared" si="8"/>
        <v>0 / 31</v>
      </c>
      <c r="AL35" s="70">
        <f t="shared" si="9"/>
        <v>0</v>
      </c>
      <c r="AM35" s="71" t="str">
        <f>IFERROR(__xludf.DUMMYFUNCTION("SPARKLINE(AL35, {""charttype"",""bar"";""max"",1;""color1"",""#bfc99a""})
"),"")</f>
        <v/>
      </c>
    </row>
    <row r="36" ht="26.25" customHeight="1">
      <c r="A36" s="1"/>
      <c r="B36" s="64"/>
      <c r="C36" s="76"/>
      <c r="D36" s="66"/>
      <c r="E36" s="67" t="b">
        <v>0</v>
      </c>
      <c r="F36" s="67" t="b">
        <v>0</v>
      </c>
      <c r="G36" s="67" t="b">
        <v>0</v>
      </c>
      <c r="H36" s="67" t="b">
        <v>0</v>
      </c>
      <c r="I36" s="67" t="b">
        <v>0</v>
      </c>
      <c r="J36" s="67" t="b">
        <v>0</v>
      </c>
      <c r="K36" s="67" t="b">
        <v>0</v>
      </c>
      <c r="L36" s="72" t="b">
        <v>0</v>
      </c>
      <c r="M36" s="72" t="b">
        <v>0</v>
      </c>
      <c r="N36" s="72" t="b">
        <v>0</v>
      </c>
      <c r="O36" s="72" t="b">
        <v>0</v>
      </c>
      <c r="P36" s="72" t="b">
        <v>0</v>
      </c>
      <c r="Q36" s="72" t="b">
        <v>0</v>
      </c>
      <c r="R36" s="72" t="b">
        <v>0</v>
      </c>
      <c r="S36" s="73" t="b">
        <v>0</v>
      </c>
      <c r="T36" s="73" t="b">
        <v>0</v>
      </c>
      <c r="U36" s="73" t="b">
        <v>0</v>
      </c>
      <c r="V36" s="73" t="b">
        <v>0</v>
      </c>
      <c r="W36" s="73" t="b">
        <v>0</v>
      </c>
      <c r="X36" s="73" t="b">
        <v>0</v>
      </c>
      <c r="Y36" s="73" t="b">
        <v>0</v>
      </c>
      <c r="Z36" s="74" t="b">
        <v>0</v>
      </c>
      <c r="AA36" s="74" t="b">
        <v>0</v>
      </c>
      <c r="AB36" s="74" t="b">
        <v>0</v>
      </c>
      <c r="AC36" s="74" t="b">
        <v>0</v>
      </c>
      <c r="AD36" s="74" t="b">
        <v>0</v>
      </c>
      <c r="AE36" s="74" t="b">
        <v>0</v>
      </c>
      <c r="AF36" s="74" t="b">
        <v>0</v>
      </c>
      <c r="AG36" s="75" t="b">
        <v>0</v>
      </c>
      <c r="AH36" s="75" t="b">
        <v>0</v>
      </c>
      <c r="AI36" s="75" t="b">
        <v>0</v>
      </c>
      <c r="AJ36" s="68"/>
      <c r="AK36" s="77" t="str">
        <f t="shared" si="8"/>
        <v>0 / 31</v>
      </c>
      <c r="AL36" s="78">
        <f t="shared" si="9"/>
        <v>0</v>
      </c>
      <c r="AM36" s="79" t="str">
        <f>IFERROR(__xludf.DUMMYFUNCTION("SPARKLINE(AL36, {""charttype"",""bar"";""max"",1;""color1"",""#bfc99a""})
"),"")</f>
        <v/>
      </c>
    </row>
    <row r="37" ht="26.25" customHeight="1">
      <c r="A37" s="1"/>
      <c r="B37" s="64"/>
      <c r="C37" s="76"/>
      <c r="D37" s="66"/>
      <c r="E37" s="67" t="b">
        <v>0</v>
      </c>
      <c r="F37" s="67" t="b">
        <v>0</v>
      </c>
      <c r="G37" s="67" t="b">
        <v>0</v>
      </c>
      <c r="H37" s="67" t="b">
        <v>0</v>
      </c>
      <c r="I37" s="67" t="b">
        <v>0</v>
      </c>
      <c r="J37" s="67" t="b">
        <v>0</v>
      </c>
      <c r="K37" s="67" t="b">
        <v>0</v>
      </c>
      <c r="L37" s="72" t="b">
        <v>0</v>
      </c>
      <c r="M37" s="72" t="b">
        <v>0</v>
      </c>
      <c r="N37" s="72" t="b">
        <v>0</v>
      </c>
      <c r="O37" s="72" t="b">
        <v>0</v>
      </c>
      <c r="P37" s="72" t="b">
        <v>0</v>
      </c>
      <c r="Q37" s="72" t="b">
        <v>0</v>
      </c>
      <c r="R37" s="72" t="b">
        <v>0</v>
      </c>
      <c r="S37" s="73" t="b">
        <v>0</v>
      </c>
      <c r="T37" s="73" t="b">
        <v>0</v>
      </c>
      <c r="U37" s="73" t="b">
        <v>0</v>
      </c>
      <c r="V37" s="73" t="b">
        <v>0</v>
      </c>
      <c r="W37" s="73" t="b">
        <v>0</v>
      </c>
      <c r="X37" s="73" t="b">
        <v>0</v>
      </c>
      <c r="Y37" s="73" t="b">
        <v>0</v>
      </c>
      <c r="Z37" s="74" t="b">
        <v>0</v>
      </c>
      <c r="AA37" s="74" t="b">
        <v>0</v>
      </c>
      <c r="AB37" s="74" t="b">
        <v>0</v>
      </c>
      <c r="AC37" s="74" t="b">
        <v>0</v>
      </c>
      <c r="AD37" s="74" t="b">
        <v>0</v>
      </c>
      <c r="AE37" s="74" t="b">
        <v>0</v>
      </c>
      <c r="AF37" s="74" t="b">
        <v>0</v>
      </c>
      <c r="AG37" s="75" t="b">
        <v>0</v>
      </c>
      <c r="AH37" s="75" t="b">
        <v>0</v>
      </c>
      <c r="AI37" s="75" t="b">
        <v>0</v>
      </c>
      <c r="AJ37" s="68"/>
      <c r="AK37" s="77" t="str">
        <f t="shared" si="8"/>
        <v>0 / 31</v>
      </c>
      <c r="AL37" s="80">
        <f t="shared" si="9"/>
        <v>0</v>
      </c>
      <c r="AM37" s="79" t="str">
        <f>IFERROR(__xludf.DUMMYFUNCTION("SPARKLINE(AL37, {""charttype"",""bar"";""max"",1;""color1"",""#bfc99a""})
"),"")</f>
        <v/>
      </c>
    </row>
    <row r="38" ht="26.25" customHeight="1">
      <c r="A38" s="1"/>
      <c r="B38" s="64"/>
      <c r="C38" s="76"/>
      <c r="D38" s="66"/>
      <c r="E38" s="67" t="b">
        <v>0</v>
      </c>
      <c r="F38" s="67" t="b">
        <v>0</v>
      </c>
      <c r="G38" s="67" t="b">
        <v>0</v>
      </c>
      <c r="H38" s="67" t="b">
        <v>0</v>
      </c>
      <c r="I38" s="67" t="b">
        <v>0</v>
      </c>
      <c r="J38" s="67" t="b">
        <v>0</v>
      </c>
      <c r="K38" s="67" t="b">
        <v>0</v>
      </c>
      <c r="L38" s="72" t="b">
        <v>0</v>
      </c>
      <c r="M38" s="72" t="b">
        <v>0</v>
      </c>
      <c r="N38" s="72" t="b">
        <v>0</v>
      </c>
      <c r="O38" s="72" t="b">
        <v>0</v>
      </c>
      <c r="P38" s="72" t="b">
        <v>0</v>
      </c>
      <c r="Q38" s="72" t="b">
        <v>0</v>
      </c>
      <c r="R38" s="72" t="b">
        <v>0</v>
      </c>
      <c r="S38" s="73" t="b">
        <v>0</v>
      </c>
      <c r="T38" s="73" t="b">
        <v>0</v>
      </c>
      <c r="U38" s="73" t="b">
        <v>0</v>
      </c>
      <c r="V38" s="73" t="b">
        <v>0</v>
      </c>
      <c r="W38" s="73" t="b">
        <v>0</v>
      </c>
      <c r="X38" s="73" t="b">
        <v>0</v>
      </c>
      <c r="Y38" s="73" t="b">
        <v>0</v>
      </c>
      <c r="Z38" s="74" t="b">
        <v>0</v>
      </c>
      <c r="AA38" s="74" t="b">
        <v>0</v>
      </c>
      <c r="AB38" s="74" t="b">
        <v>0</v>
      </c>
      <c r="AC38" s="74" t="b">
        <v>0</v>
      </c>
      <c r="AD38" s="74" t="b">
        <v>0</v>
      </c>
      <c r="AE38" s="74" t="b">
        <v>0</v>
      </c>
      <c r="AF38" s="74" t="b">
        <v>0</v>
      </c>
      <c r="AG38" s="75" t="b">
        <v>0</v>
      </c>
      <c r="AH38" s="75" t="b">
        <v>0</v>
      </c>
      <c r="AI38" s="75" t="b">
        <v>0</v>
      </c>
      <c r="AJ38" s="68"/>
      <c r="AK38" s="77" t="str">
        <f t="shared" si="8"/>
        <v>0 / 31</v>
      </c>
      <c r="AL38" s="70">
        <f t="shared" si="9"/>
        <v>0</v>
      </c>
      <c r="AM38" s="79" t="str">
        <f>IFERROR(__xludf.DUMMYFUNCTION("SPARKLINE(AL38, {""charttype"",""bar"";""max"",1;""color1"",""#bfc99a""})
"),"")</f>
        <v/>
      </c>
    </row>
    <row r="39" ht="26.25" customHeight="1">
      <c r="A39" s="1"/>
      <c r="B39" s="64"/>
      <c r="C39" s="76"/>
      <c r="D39" s="66"/>
      <c r="E39" s="67" t="b">
        <v>0</v>
      </c>
      <c r="F39" s="67" t="b">
        <v>0</v>
      </c>
      <c r="G39" s="67" t="b">
        <v>0</v>
      </c>
      <c r="H39" s="67" t="b">
        <v>0</v>
      </c>
      <c r="I39" s="67" t="b">
        <v>0</v>
      </c>
      <c r="J39" s="67" t="b">
        <v>0</v>
      </c>
      <c r="K39" s="67" t="b">
        <v>0</v>
      </c>
      <c r="L39" s="72" t="b">
        <v>0</v>
      </c>
      <c r="M39" s="72" t="b">
        <v>0</v>
      </c>
      <c r="N39" s="72" t="b">
        <v>0</v>
      </c>
      <c r="O39" s="72" t="b">
        <v>0</v>
      </c>
      <c r="P39" s="72" t="b">
        <v>0</v>
      </c>
      <c r="Q39" s="72" t="b">
        <v>0</v>
      </c>
      <c r="R39" s="72" t="b">
        <v>0</v>
      </c>
      <c r="S39" s="73" t="b">
        <v>0</v>
      </c>
      <c r="T39" s="73" t="b">
        <v>0</v>
      </c>
      <c r="U39" s="73" t="b">
        <v>0</v>
      </c>
      <c r="V39" s="73" t="b">
        <v>0</v>
      </c>
      <c r="W39" s="73" t="b">
        <v>0</v>
      </c>
      <c r="X39" s="73" t="b">
        <v>0</v>
      </c>
      <c r="Y39" s="73" t="b">
        <v>0</v>
      </c>
      <c r="Z39" s="74" t="b">
        <v>0</v>
      </c>
      <c r="AA39" s="74" t="b">
        <v>0</v>
      </c>
      <c r="AB39" s="74" t="b">
        <v>0</v>
      </c>
      <c r="AC39" s="74" t="b">
        <v>0</v>
      </c>
      <c r="AD39" s="74" t="b">
        <v>0</v>
      </c>
      <c r="AE39" s="74" t="b">
        <v>0</v>
      </c>
      <c r="AF39" s="74" t="b">
        <v>0</v>
      </c>
      <c r="AG39" s="75" t="b">
        <v>0</v>
      </c>
      <c r="AH39" s="75" t="b">
        <v>0</v>
      </c>
      <c r="AI39" s="75" t="b">
        <v>0</v>
      </c>
      <c r="AJ39" s="68"/>
      <c r="AK39" s="77" t="str">
        <f t="shared" si="8"/>
        <v>0 / 31</v>
      </c>
      <c r="AL39" s="70">
        <f t="shared" si="9"/>
        <v>0</v>
      </c>
      <c r="AM39" s="79" t="str">
        <f>IFERROR(__xludf.DUMMYFUNCTION("SPARKLINE(AL39, {""charttype"",""bar"";""max"",1;""color1"",""#bfc99a""})
"),"")</f>
        <v/>
      </c>
    </row>
    <row r="40" ht="26.25" customHeight="1">
      <c r="A40" s="1"/>
      <c r="B40" s="64"/>
      <c r="C40" s="76"/>
      <c r="D40" s="66"/>
      <c r="E40" s="67" t="b">
        <v>0</v>
      </c>
      <c r="F40" s="67" t="b">
        <v>0</v>
      </c>
      <c r="G40" s="67" t="b">
        <v>0</v>
      </c>
      <c r="H40" s="67" t="b">
        <v>0</v>
      </c>
      <c r="I40" s="67" t="b">
        <v>0</v>
      </c>
      <c r="J40" s="67" t="b">
        <v>0</v>
      </c>
      <c r="K40" s="67" t="b">
        <v>0</v>
      </c>
      <c r="L40" s="72" t="b">
        <v>0</v>
      </c>
      <c r="M40" s="72" t="b">
        <v>0</v>
      </c>
      <c r="N40" s="72" t="b">
        <v>0</v>
      </c>
      <c r="O40" s="72" t="b">
        <v>0</v>
      </c>
      <c r="P40" s="72" t="b">
        <v>0</v>
      </c>
      <c r="Q40" s="72" t="b">
        <v>0</v>
      </c>
      <c r="R40" s="72" t="b">
        <v>0</v>
      </c>
      <c r="S40" s="73" t="b">
        <v>0</v>
      </c>
      <c r="T40" s="73" t="b">
        <v>0</v>
      </c>
      <c r="U40" s="73" t="b">
        <v>0</v>
      </c>
      <c r="V40" s="73" t="b">
        <v>0</v>
      </c>
      <c r="W40" s="73" t="b">
        <v>0</v>
      </c>
      <c r="X40" s="73" t="b">
        <v>0</v>
      </c>
      <c r="Y40" s="73" t="b">
        <v>0</v>
      </c>
      <c r="Z40" s="74" t="b">
        <v>0</v>
      </c>
      <c r="AA40" s="74" t="b">
        <v>0</v>
      </c>
      <c r="AB40" s="74" t="b">
        <v>0</v>
      </c>
      <c r="AC40" s="74" t="b">
        <v>0</v>
      </c>
      <c r="AD40" s="74" t="b">
        <v>0</v>
      </c>
      <c r="AE40" s="74" t="b">
        <v>0</v>
      </c>
      <c r="AF40" s="74" t="b">
        <v>0</v>
      </c>
      <c r="AG40" s="75" t="b">
        <v>0</v>
      </c>
      <c r="AH40" s="75" t="b">
        <v>0</v>
      </c>
      <c r="AI40" s="75" t="b">
        <v>0</v>
      </c>
      <c r="AJ40" s="68"/>
      <c r="AK40" s="77" t="str">
        <f t="shared" si="8"/>
        <v>0 / 31</v>
      </c>
      <c r="AL40" s="70">
        <f t="shared" si="9"/>
        <v>0</v>
      </c>
      <c r="AM40" s="79" t="str">
        <f>IFERROR(__xludf.DUMMYFUNCTION("SPARKLINE(AL40, {""charttype"",""bar"";""max"",1;""color1"",""#bfc99a""})
"),"")</f>
        <v/>
      </c>
    </row>
    <row r="41" ht="26.25" customHeight="1">
      <c r="A41" s="1"/>
      <c r="B41" s="64"/>
      <c r="C41" s="76"/>
      <c r="D41" s="66"/>
      <c r="E41" s="67" t="b">
        <v>0</v>
      </c>
      <c r="F41" s="67" t="b">
        <v>0</v>
      </c>
      <c r="G41" s="67" t="b">
        <v>0</v>
      </c>
      <c r="H41" s="67" t="b">
        <v>0</v>
      </c>
      <c r="I41" s="67" t="b">
        <v>0</v>
      </c>
      <c r="J41" s="67" t="b">
        <v>0</v>
      </c>
      <c r="K41" s="67" t="b">
        <v>0</v>
      </c>
      <c r="L41" s="72" t="b">
        <v>0</v>
      </c>
      <c r="M41" s="72" t="b">
        <v>0</v>
      </c>
      <c r="N41" s="72" t="b">
        <v>0</v>
      </c>
      <c r="O41" s="72" t="b">
        <v>0</v>
      </c>
      <c r="P41" s="72" t="b">
        <v>0</v>
      </c>
      <c r="Q41" s="72" t="b">
        <v>0</v>
      </c>
      <c r="R41" s="72" t="b">
        <v>0</v>
      </c>
      <c r="S41" s="73" t="b">
        <v>0</v>
      </c>
      <c r="T41" s="73" t="b">
        <v>0</v>
      </c>
      <c r="U41" s="73" t="b">
        <v>0</v>
      </c>
      <c r="V41" s="73" t="b">
        <v>0</v>
      </c>
      <c r="W41" s="73" t="b">
        <v>0</v>
      </c>
      <c r="X41" s="73" t="b">
        <v>0</v>
      </c>
      <c r="Y41" s="73" t="b">
        <v>0</v>
      </c>
      <c r="Z41" s="74" t="b">
        <v>0</v>
      </c>
      <c r="AA41" s="74" t="b">
        <v>0</v>
      </c>
      <c r="AB41" s="74" t="b">
        <v>0</v>
      </c>
      <c r="AC41" s="74" t="b">
        <v>0</v>
      </c>
      <c r="AD41" s="74" t="b">
        <v>0</v>
      </c>
      <c r="AE41" s="74" t="b">
        <v>0</v>
      </c>
      <c r="AF41" s="74" t="b">
        <v>0</v>
      </c>
      <c r="AG41" s="75" t="b">
        <v>0</v>
      </c>
      <c r="AH41" s="75" t="b">
        <v>0</v>
      </c>
      <c r="AI41" s="75" t="b">
        <v>0</v>
      </c>
      <c r="AJ41" s="68"/>
      <c r="AK41" s="77" t="str">
        <f t="shared" si="8"/>
        <v>0 / 31</v>
      </c>
      <c r="AL41" s="70">
        <f t="shared" si="9"/>
        <v>0</v>
      </c>
      <c r="AM41" s="79" t="str">
        <f>IFERROR(__xludf.DUMMYFUNCTION("SPARKLINE(AL41, {""charttype"",""bar"";""max"",1;""color1"",""#bfc99a""})
"),"")</f>
        <v/>
      </c>
    </row>
    <row r="42" ht="26.25" customHeight="1">
      <c r="A42" s="1"/>
      <c r="B42" s="64"/>
      <c r="C42" s="76"/>
      <c r="D42" s="66"/>
      <c r="E42" s="67" t="b">
        <v>0</v>
      </c>
      <c r="F42" s="67" t="b">
        <v>0</v>
      </c>
      <c r="G42" s="67" t="b">
        <v>0</v>
      </c>
      <c r="H42" s="67" t="b">
        <v>0</v>
      </c>
      <c r="I42" s="67" t="b">
        <v>0</v>
      </c>
      <c r="J42" s="67" t="b">
        <v>0</v>
      </c>
      <c r="K42" s="67" t="b">
        <v>0</v>
      </c>
      <c r="L42" s="72" t="b">
        <v>0</v>
      </c>
      <c r="M42" s="72" t="b">
        <v>0</v>
      </c>
      <c r="N42" s="72" t="b">
        <v>0</v>
      </c>
      <c r="O42" s="72" t="b">
        <v>0</v>
      </c>
      <c r="P42" s="72" t="b">
        <v>0</v>
      </c>
      <c r="Q42" s="72" t="b">
        <v>0</v>
      </c>
      <c r="R42" s="72" t="b">
        <v>0</v>
      </c>
      <c r="S42" s="73" t="b">
        <v>0</v>
      </c>
      <c r="T42" s="73" t="b">
        <v>0</v>
      </c>
      <c r="U42" s="73" t="b">
        <v>0</v>
      </c>
      <c r="V42" s="73" t="b">
        <v>0</v>
      </c>
      <c r="W42" s="73" t="b">
        <v>0</v>
      </c>
      <c r="X42" s="73" t="b">
        <v>0</v>
      </c>
      <c r="Y42" s="73" t="b">
        <v>0</v>
      </c>
      <c r="Z42" s="74" t="b">
        <v>0</v>
      </c>
      <c r="AA42" s="74" t="b">
        <v>0</v>
      </c>
      <c r="AB42" s="74" t="b">
        <v>0</v>
      </c>
      <c r="AC42" s="74" t="b">
        <v>0</v>
      </c>
      <c r="AD42" s="74" t="b">
        <v>0</v>
      </c>
      <c r="AE42" s="74" t="b">
        <v>0</v>
      </c>
      <c r="AF42" s="74" t="b">
        <v>0</v>
      </c>
      <c r="AG42" s="75" t="b">
        <v>0</v>
      </c>
      <c r="AH42" s="75" t="b">
        <v>0</v>
      </c>
      <c r="AI42" s="75" t="b">
        <v>0</v>
      </c>
      <c r="AJ42" s="68"/>
      <c r="AK42" s="77" t="str">
        <f t="shared" si="8"/>
        <v>0 / 31</v>
      </c>
      <c r="AL42" s="70">
        <f t="shared" si="9"/>
        <v>0</v>
      </c>
      <c r="AM42" s="79" t="str">
        <f>IFERROR(__xludf.DUMMYFUNCTION("SPARKLINE(AL42, {""charttype"",""bar"";""max"",1;""color1"",""#bfc99a""})
"),"")</f>
        <v/>
      </c>
    </row>
    <row r="43" ht="26.25" customHeight="1">
      <c r="A43" s="1"/>
      <c r="B43" s="64"/>
      <c r="C43" s="76"/>
      <c r="D43" s="66"/>
      <c r="E43" s="67" t="b">
        <v>0</v>
      </c>
      <c r="F43" s="67" t="b">
        <v>0</v>
      </c>
      <c r="G43" s="67" t="b">
        <v>0</v>
      </c>
      <c r="H43" s="67" t="b">
        <v>0</v>
      </c>
      <c r="I43" s="67" t="b">
        <v>0</v>
      </c>
      <c r="J43" s="67" t="b">
        <v>0</v>
      </c>
      <c r="K43" s="67" t="b">
        <v>0</v>
      </c>
      <c r="L43" s="72" t="b">
        <v>0</v>
      </c>
      <c r="M43" s="72" t="b">
        <v>0</v>
      </c>
      <c r="N43" s="72" t="b">
        <v>0</v>
      </c>
      <c r="O43" s="72" t="b">
        <v>0</v>
      </c>
      <c r="P43" s="72" t="b">
        <v>0</v>
      </c>
      <c r="Q43" s="72" t="b">
        <v>0</v>
      </c>
      <c r="R43" s="72" t="b">
        <v>0</v>
      </c>
      <c r="S43" s="73" t="b">
        <v>0</v>
      </c>
      <c r="T43" s="73" t="b">
        <v>0</v>
      </c>
      <c r="U43" s="73" t="b">
        <v>0</v>
      </c>
      <c r="V43" s="73" t="b">
        <v>0</v>
      </c>
      <c r="W43" s="73" t="b">
        <v>0</v>
      </c>
      <c r="X43" s="73" t="b">
        <v>0</v>
      </c>
      <c r="Y43" s="73" t="b">
        <v>0</v>
      </c>
      <c r="Z43" s="74" t="b">
        <v>0</v>
      </c>
      <c r="AA43" s="74" t="b">
        <v>0</v>
      </c>
      <c r="AB43" s="74" t="b">
        <v>0</v>
      </c>
      <c r="AC43" s="74" t="b">
        <v>0</v>
      </c>
      <c r="AD43" s="74" t="b">
        <v>0</v>
      </c>
      <c r="AE43" s="74" t="b">
        <v>0</v>
      </c>
      <c r="AF43" s="74" t="b">
        <v>0</v>
      </c>
      <c r="AG43" s="75" t="b">
        <v>0</v>
      </c>
      <c r="AH43" s="75" t="b">
        <v>0</v>
      </c>
      <c r="AI43" s="75" t="b">
        <v>0</v>
      </c>
      <c r="AJ43" s="68"/>
      <c r="AK43" s="77" t="str">
        <f t="shared" si="8"/>
        <v>0 / 31</v>
      </c>
      <c r="AL43" s="70">
        <f t="shared" si="9"/>
        <v>0</v>
      </c>
      <c r="AM43" s="79" t="str">
        <f>IFERROR(__xludf.DUMMYFUNCTION("SPARKLINE(AL43, {""charttype"",""bar"";""max"",1;""color1"",""#bfc99a""})
"),"")</f>
        <v/>
      </c>
    </row>
    <row r="44" ht="26.25" customHeight="1">
      <c r="A44" s="1"/>
      <c r="B44" s="64"/>
      <c r="C44" s="76"/>
      <c r="D44" s="66"/>
      <c r="E44" s="67" t="b">
        <v>0</v>
      </c>
      <c r="F44" s="67" t="b">
        <v>0</v>
      </c>
      <c r="G44" s="67" t="b">
        <v>0</v>
      </c>
      <c r="H44" s="67" t="b">
        <v>0</v>
      </c>
      <c r="I44" s="67" t="b">
        <v>0</v>
      </c>
      <c r="J44" s="67" t="b">
        <v>0</v>
      </c>
      <c r="K44" s="67" t="b">
        <v>0</v>
      </c>
      <c r="L44" s="72" t="b">
        <v>0</v>
      </c>
      <c r="M44" s="72" t="b">
        <v>0</v>
      </c>
      <c r="N44" s="72" t="b">
        <v>0</v>
      </c>
      <c r="O44" s="72" t="b">
        <v>0</v>
      </c>
      <c r="P44" s="72" t="b">
        <v>0</v>
      </c>
      <c r="Q44" s="72" t="b">
        <v>0</v>
      </c>
      <c r="R44" s="72" t="b">
        <v>0</v>
      </c>
      <c r="S44" s="73" t="b">
        <v>0</v>
      </c>
      <c r="T44" s="73" t="b">
        <v>0</v>
      </c>
      <c r="U44" s="73" t="b">
        <v>0</v>
      </c>
      <c r="V44" s="73" t="b">
        <v>0</v>
      </c>
      <c r="W44" s="73" t="b">
        <v>0</v>
      </c>
      <c r="X44" s="73" t="b">
        <v>0</v>
      </c>
      <c r="Y44" s="73" t="b">
        <v>0</v>
      </c>
      <c r="Z44" s="74" t="b">
        <v>0</v>
      </c>
      <c r="AA44" s="74" t="b">
        <v>0</v>
      </c>
      <c r="AB44" s="74" t="b">
        <v>0</v>
      </c>
      <c r="AC44" s="74" t="b">
        <v>0</v>
      </c>
      <c r="AD44" s="74" t="b">
        <v>0</v>
      </c>
      <c r="AE44" s="74" t="b">
        <v>0</v>
      </c>
      <c r="AF44" s="74" t="b">
        <v>0</v>
      </c>
      <c r="AG44" s="75" t="b">
        <v>0</v>
      </c>
      <c r="AH44" s="75" t="b">
        <v>0</v>
      </c>
      <c r="AI44" s="75" t="b">
        <v>0</v>
      </c>
      <c r="AJ44" s="68"/>
      <c r="AK44" s="77" t="str">
        <f t="shared" si="8"/>
        <v>0 / 31</v>
      </c>
      <c r="AL44" s="70">
        <f t="shared" si="9"/>
        <v>0</v>
      </c>
      <c r="AM44" s="79" t="str">
        <f>IFERROR(__xludf.DUMMYFUNCTION("SPARKLINE(AL44, {""charttype"",""bar"";""max"",1;""color1"",""#bfc99a""})
"),"")</f>
        <v/>
      </c>
    </row>
    <row r="45" ht="26.25" customHeight="1">
      <c r="A45" s="1"/>
      <c r="B45" s="64"/>
      <c r="C45" s="76"/>
      <c r="D45" s="66"/>
      <c r="E45" s="67" t="b">
        <v>0</v>
      </c>
      <c r="F45" s="67" t="b">
        <v>0</v>
      </c>
      <c r="G45" s="67" t="b">
        <v>0</v>
      </c>
      <c r="H45" s="67" t="b">
        <v>0</v>
      </c>
      <c r="I45" s="67" t="b">
        <v>0</v>
      </c>
      <c r="J45" s="67" t="b">
        <v>0</v>
      </c>
      <c r="K45" s="67" t="b">
        <v>0</v>
      </c>
      <c r="L45" s="72" t="b">
        <v>0</v>
      </c>
      <c r="M45" s="72" t="b">
        <v>0</v>
      </c>
      <c r="N45" s="72" t="b">
        <v>0</v>
      </c>
      <c r="O45" s="72" t="b">
        <v>0</v>
      </c>
      <c r="P45" s="72" t="b">
        <v>0</v>
      </c>
      <c r="Q45" s="72" t="b">
        <v>0</v>
      </c>
      <c r="R45" s="72" t="b">
        <v>0</v>
      </c>
      <c r="S45" s="73" t="b">
        <v>0</v>
      </c>
      <c r="T45" s="73" t="b">
        <v>0</v>
      </c>
      <c r="U45" s="73" t="b">
        <v>0</v>
      </c>
      <c r="V45" s="73" t="b">
        <v>0</v>
      </c>
      <c r="W45" s="73" t="b">
        <v>0</v>
      </c>
      <c r="X45" s="73" t="b">
        <v>0</v>
      </c>
      <c r="Y45" s="73" t="b">
        <v>0</v>
      </c>
      <c r="Z45" s="74" t="b">
        <v>0</v>
      </c>
      <c r="AA45" s="74" t="b">
        <v>0</v>
      </c>
      <c r="AB45" s="74" t="b">
        <v>0</v>
      </c>
      <c r="AC45" s="74" t="b">
        <v>0</v>
      </c>
      <c r="AD45" s="74" t="b">
        <v>0</v>
      </c>
      <c r="AE45" s="74" t="b">
        <v>0</v>
      </c>
      <c r="AF45" s="74" t="b">
        <v>0</v>
      </c>
      <c r="AG45" s="75" t="b">
        <v>0</v>
      </c>
      <c r="AH45" s="75" t="b">
        <v>0</v>
      </c>
      <c r="AI45" s="75" t="b">
        <v>0</v>
      </c>
      <c r="AJ45" s="68"/>
      <c r="AK45" s="77" t="str">
        <f t="shared" si="8"/>
        <v>0 / 31</v>
      </c>
      <c r="AL45" s="70">
        <f t="shared" si="9"/>
        <v>0</v>
      </c>
      <c r="AM45" s="79" t="str">
        <f>IFERROR(__xludf.DUMMYFUNCTION("SPARKLINE(AL45, {""charttype"",""bar"";""max"",1;""color1"",""#bfc99a""})
"),"")</f>
        <v/>
      </c>
    </row>
    <row r="46" ht="26.25" customHeight="1">
      <c r="A46" s="1"/>
      <c r="B46" s="64"/>
      <c r="C46" s="76"/>
      <c r="D46" s="66"/>
      <c r="E46" s="67" t="b">
        <v>0</v>
      </c>
      <c r="F46" s="67" t="b">
        <v>0</v>
      </c>
      <c r="G46" s="67" t="b">
        <v>0</v>
      </c>
      <c r="H46" s="67" t="b">
        <v>0</v>
      </c>
      <c r="I46" s="67" t="b">
        <v>0</v>
      </c>
      <c r="J46" s="67" t="b">
        <v>0</v>
      </c>
      <c r="K46" s="67" t="b">
        <v>0</v>
      </c>
      <c r="L46" s="72" t="b">
        <v>0</v>
      </c>
      <c r="M46" s="72" t="b">
        <v>0</v>
      </c>
      <c r="N46" s="72" t="b">
        <v>0</v>
      </c>
      <c r="O46" s="72" t="b">
        <v>0</v>
      </c>
      <c r="P46" s="72" t="b">
        <v>0</v>
      </c>
      <c r="Q46" s="72" t="b">
        <v>0</v>
      </c>
      <c r="R46" s="72" t="b">
        <v>0</v>
      </c>
      <c r="S46" s="73" t="b">
        <v>0</v>
      </c>
      <c r="T46" s="73" t="b">
        <v>0</v>
      </c>
      <c r="U46" s="73" t="b">
        <v>0</v>
      </c>
      <c r="V46" s="73" t="b">
        <v>0</v>
      </c>
      <c r="W46" s="73" t="b">
        <v>0</v>
      </c>
      <c r="X46" s="73" t="b">
        <v>0</v>
      </c>
      <c r="Y46" s="73" t="b">
        <v>0</v>
      </c>
      <c r="Z46" s="74" t="b">
        <v>0</v>
      </c>
      <c r="AA46" s="74" t="b">
        <v>0</v>
      </c>
      <c r="AB46" s="74" t="b">
        <v>0</v>
      </c>
      <c r="AC46" s="74" t="b">
        <v>0</v>
      </c>
      <c r="AD46" s="74" t="b">
        <v>0</v>
      </c>
      <c r="AE46" s="74" t="b">
        <v>0</v>
      </c>
      <c r="AF46" s="74" t="b">
        <v>0</v>
      </c>
      <c r="AG46" s="75" t="b">
        <v>0</v>
      </c>
      <c r="AH46" s="75" t="b">
        <v>0</v>
      </c>
      <c r="AI46" s="75" t="b">
        <v>0</v>
      </c>
      <c r="AJ46" s="68"/>
      <c r="AK46" s="77" t="str">
        <f t="shared" si="8"/>
        <v>0 / 31</v>
      </c>
      <c r="AL46" s="70">
        <f t="shared" si="9"/>
        <v>0</v>
      </c>
      <c r="AM46" s="79" t="str">
        <f>IFERROR(__xludf.DUMMYFUNCTION("SPARKLINE(AL46, {""charttype"",""bar"";""max"",1;""color1"",""#bfc99a""})
"),"")</f>
        <v/>
      </c>
    </row>
    <row r="47" ht="26.25" customHeight="1">
      <c r="A47" s="1"/>
      <c r="B47" s="64"/>
      <c r="C47" s="76"/>
      <c r="D47" s="66"/>
      <c r="E47" s="67" t="b">
        <v>0</v>
      </c>
      <c r="F47" s="67" t="b">
        <v>0</v>
      </c>
      <c r="G47" s="67" t="b">
        <v>0</v>
      </c>
      <c r="H47" s="67" t="b">
        <v>0</v>
      </c>
      <c r="I47" s="67" t="b">
        <v>0</v>
      </c>
      <c r="J47" s="67" t="b">
        <v>0</v>
      </c>
      <c r="K47" s="67" t="b">
        <v>0</v>
      </c>
      <c r="L47" s="72" t="b">
        <v>0</v>
      </c>
      <c r="M47" s="72" t="b">
        <v>0</v>
      </c>
      <c r="N47" s="72" t="b">
        <v>0</v>
      </c>
      <c r="O47" s="72" t="b">
        <v>0</v>
      </c>
      <c r="P47" s="72" t="b">
        <v>0</v>
      </c>
      <c r="Q47" s="72" t="b">
        <v>0</v>
      </c>
      <c r="R47" s="72" t="b">
        <v>0</v>
      </c>
      <c r="S47" s="73" t="b">
        <v>0</v>
      </c>
      <c r="T47" s="73" t="b">
        <v>0</v>
      </c>
      <c r="U47" s="73" t="b">
        <v>0</v>
      </c>
      <c r="V47" s="73" t="b">
        <v>0</v>
      </c>
      <c r="W47" s="73" t="b">
        <v>0</v>
      </c>
      <c r="X47" s="73" t="b">
        <v>0</v>
      </c>
      <c r="Y47" s="73" t="b">
        <v>0</v>
      </c>
      <c r="Z47" s="74" t="b">
        <v>0</v>
      </c>
      <c r="AA47" s="74" t="b">
        <v>0</v>
      </c>
      <c r="AB47" s="74" t="b">
        <v>0</v>
      </c>
      <c r="AC47" s="74" t="b">
        <v>0</v>
      </c>
      <c r="AD47" s="74" t="b">
        <v>0</v>
      </c>
      <c r="AE47" s="74" t="b">
        <v>0</v>
      </c>
      <c r="AF47" s="74" t="b">
        <v>0</v>
      </c>
      <c r="AG47" s="75" t="b">
        <v>0</v>
      </c>
      <c r="AH47" s="75" t="b">
        <v>0</v>
      </c>
      <c r="AI47" s="75" t="b">
        <v>0</v>
      </c>
      <c r="AJ47" s="68"/>
      <c r="AK47" s="77" t="str">
        <f t="shared" si="8"/>
        <v>0 / 31</v>
      </c>
      <c r="AL47" s="70">
        <f t="shared" si="9"/>
        <v>0</v>
      </c>
      <c r="AM47" s="79" t="str">
        <f>IFERROR(__xludf.DUMMYFUNCTION("SPARKLINE(AL47, {""charttype"",""bar"";""max"",1;""color1"",""#bfc99a""})
"),"")</f>
        <v/>
      </c>
    </row>
    <row r="48" ht="26.25" customHeight="1">
      <c r="A48" s="1"/>
      <c r="B48" s="64"/>
      <c r="C48" s="76"/>
      <c r="D48" s="66"/>
      <c r="E48" s="67" t="b">
        <v>0</v>
      </c>
      <c r="F48" s="67" t="b">
        <v>0</v>
      </c>
      <c r="G48" s="67" t="b">
        <v>0</v>
      </c>
      <c r="H48" s="67" t="b">
        <v>0</v>
      </c>
      <c r="I48" s="67" t="b">
        <v>0</v>
      </c>
      <c r="J48" s="67" t="b">
        <v>0</v>
      </c>
      <c r="K48" s="67" t="b">
        <v>0</v>
      </c>
      <c r="L48" s="72" t="b">
        <v>0</v>
      </c>
      <c r="M48" s="72" t="b">
        <v>0</v>
      </c>
      <c r="N48" s="72" t="b">
        <v>0</v>
      </c>
      <c r="O48" s="72" t="b">
        <v>0</v>
      </c>
      <c r="P48" s="72" t="b">
        <v>0</v>
      </c>
      <c r="Q48" s="72" t="b">
        <v>0</v>
      </c>
      <c r="R48" s="72" t="b">
        <v>0</v>
      </c>
      <c r="S48" s="73" t="b">
        <v>0</v>
      </c>
      <c r="T48" s="73" t="b">
        <v>0</v>
      </c>
      <c r="U48" s="73" t="b">
        <v>0</v>
      </c>
      <c r="V48" s="73" t="b">
        <v>0</v>
      </c>
      <c r="W48" s="73" t="b">
        <v>0</v>
      </c>
      <c r="X48" s="73" t="b">
        <v>0</v>
      </c>
      <c r="Y48" s="73" t="b">
        <v>0</v>
      </c>
      <c r="Z48" s="74" t="b">
        <v>0</v>
      </c>
      <c r="AA48" s="74" t="b">
        <v>0</v>
      </c>
      <c r="AB48" s="74" t="b">
        <v>0</v>
      </c>
      <c r="AC48" s="74" t="b">
        <v>0</v>
      </c>
      <c r="AD48" s="74" t="b">
        <v>0</v>
      </c>
      <c r="AE48" s="74" t="b">
        <v>0</v>
      </c>
      <c r="AF48" s="74" t="b">
        <v>0</v>
      </c>
      <c r="AG48" s="75" t="b">
        <v>0</v>
      </c>
      <c r="AH48" s="75" t="b">
        <v>0</v>
      </c>
      <c r="AI48" s="75" t="b">
        <v>0</v>
      </c>
      <c r="AJ48" s="68"/>
      <c r="AK48" s="77" t="str">
        <f t="shared" si="8"/>
        <v>0 / 31</v>
      </c>
      <c r="AL48" s="70">
        <f t="shared" si="9"/>
        <v>0</v>
      </c>
      <c r="AM48" s="79" t="str">
        <f>IFERROR(__xludf.DUMMYFUNCTION("SPARKLINE(AL48, {""charttype"",""bar"";""max"",1;""color1"",""#bfc99a""})
"),"")</f>
        <v/>
      </c>
    </row>
    <row r="49" ht="26.25" customHeight="1">
      <c r="A49" s="1"/>
      <c r="B49" s="64"/>
      <c r="C49" s="76"/>
      <c r="D49" s="66"/>
      <c r="E49" s="67" t="b">
        <v>0</v>
      </c>
      <c r="F49" s="67" t="b">
        <v>0</v>
      </c>
      <c r="G49" s="67" t="b">
        <v>0</v>
      </c>
      <c r="H49" s="67" t="b">
        <v>0</v>
      </c>
      <c r="I49" s="67" t="b">
        <v>0</v>
      </c>
      <c r="J49" s="67" t="b">
        <v>0</v>
      </c>
      <c r="K49" s="67" t="b">
        <v>0</v>
      </c>
      <c r="L49" s="72" t="b">
        <v>0</v>
      </c>
      <c r="M49" s="72" t="b">
        <v>0</v>
      </c>
      <c r="N49" s="72" t="b">
        <v>0</v>
      </c>
      <c r="O49" s="72" t="b">
        <v>0</v>
      </c>
      <c r="P49" s="72" t="b">
        <v>0</v>
      </c>
      <c r="Q49" s="72" t="b">
        <v>0</v>
      </c>
      <c r="R49" s="72" t="b">
        <v>0</v>
      </c>
      <c r="S49" s="73" t="b">
        <v>0</v>
      </c>
      <c r="T49" s="73" t="b">
        <v>0</v>
      </c>
      <c r="U49" s="73" t="b">
        <v>0</v>
      </c>
      <c r="V49" s="73" t="b">
        <v>0</v>
      </c>
      <c r="W49" s="73" t="b">
        <v>0</v>
      </c>
      <c r="X49" s="73" t="b">
        <v>0</v>
      </c>
      <c r="Y49" s="73" t="b">
        <v>0</v>
      </c>
      <c r="Z49" s="74" t="b">
        <v>0</v>
      </c>
      <c r="AA49" s="74" t="b">
        <v>0</v>
      </c>
      <c r="AB49" s="74" t="b">
        <v>0</v>
      </c>
      <c r="AC49" s="74" t="b">
        <v>0</v>
      </c>
      <c r="AD49" s="74" t="b">
        <v>0</v>
      </c>
      <c r="AE49" s="74" t="b">
        <v>0</v>
      </c>
      <c r="AF49" s="74" t="b">
        <v>0</v>
      </c>
      <c r="AG49" s="75" t="b">
        <v>0</v>
      </c>
      <c r="AH49" s="75" t="b">
        <v>0</v>
      </c>
      <c r="AI49" s="75" t="b">
        <v>0</v>
      </c>
      <c r="AJ49" s="68"/>
      <c r="AK49" s="77" t="str">
        <f t="shared" si="8"/>
        <v>0 / 31</v>
      </c>
      <c r="AL49" s="70">
        <f t="shared" si="9"/>
        <v>0</v>
      </c>
      <c r="AM49" s="79" t="str">
        <f>IFERROR(__xludf.DUMMYFUNCTION("SPARKLINE(AL49, {""charttype"",""bar"";""max"",1;""color1"",""#bfc99a""})
"),"")</f>
        <v/>
      </c>
    </row>
    <row r="50" ht="26.25" customHeight="1">
      <c r="A50" s="1"/>
      <c r="B50" s="81"/>
      <c r="C50" s="76"/>
      <c r="D50" s="66"/>
      <c r="E50" s="82" t="b">
        <v>0</v>
      </c>
      <c r="F50" s="82" t="b">
        <v>0</v>
      </c>
      <c r="G50" s="82" t="b">
        <v>0</v>
      </c>
      <c r="H50" s="82" t="b">
        <v>0</v>
      </c>
      <c r="I50" s="82" t="b">
        <v>0</v>
      </c>
      <c r="J50" s="67" t="b">
        <v>0</v>
      </c>
      <c r="K50" s="82" t="b">
        <v>0</v>
      </c>
      <c r="L50" s="83" t="b">
        <v>0</v>
      </c>
      <c r="M50" s="83" t="b">
        <v>0</v>
      </c>
      <c r="N50" s="83" t="b">
        <v>0</v>
      </c>
      <c r="O50" s="83" t="b">
        <v>0</v>
      </c>
      <c r="P50" s="83" t="b">
        <v>0</v>
      </c>
      <c r="Q50" s="83" t="b">
        <v>0</v>
      </c>
      <c r="R50" s="83" t="b">
        <v>0</v>
      </c>
      <c r="S50" s="84" t="b">
        <v>0</v>
      </c>
      <c r="T50" s="84" t="b">
        <v>0</v>
      </c>
      <c r="U50" s="84" t="b">
        <v>0</v>
      </c>
      <c r="V50" s="84" t="b">
        <v>0</v>
      </c>
      <c r="W50" s="84" t="b">
        <v>0</v>
      </c>
      <c r="X50" s="84" t="b">
        <v>0</v>
      </c>
      <c r="Y50" s="84" t="b">
        <v>0</v>
      </c>
      <c r="Z50" s="85" t="b">
        <v>0</v>
      </c>
      <c r="AA50" s="85" t="b">
        <v>0</v>
      </c>
      <c r="AB50" s="85" t="b">
        <v>0</v>
      </c>
      <c r="AC50" s="85" t="b">
        <v>0</v>
      </c>
      <c r="AD50" s="85" t="b">
        <v>0</v>
      </c>
      <c r="AE50" s="85" t="b">
        <v>0</v>
      </c>
      <c r="AF50" s="85" t="b">
        <v>0</v>
      </c>
      <c r="AG50" s="86" t="b">
        <v>0</v>
      </c>
      <c r="AH50" s="86" t="b">
        <v>0</v>
      </c>
      <c r="AI50" s="86" t="b">
        <v>0</v>
      </c>
      <c r="AJ50" s="68"/>
      <c r="AK50" s="77" t="str">
        <f t="shared" si="8"/>
        <v>0 / 31</v>
      </c>
      <c r="AL50" s="70">
        <f t="shared" si="9"/>
        <v>0</v>
      </c>
      <c r="AM50" s="79" t="str">
        <f>IFERROR(__xludf.DUMMYFUNCTION("SPARKLINE(AL50, {""charttype"",""bar"";""max"",1;""color1"",""#bfc99a""})
"),"")</f>
        <v/>
      </c>
    </row>
  </sheetData>
  <mergeCells count="252">
    <mergeCell ref="R1:S1"/>
    <mergeCell ref="T1:U1"/>
    <mergeCell ref="V1:W1"/>
    <mergeCell ref="X1:Y1"/>
    <mergeCell ref="Z1:AA1"/>
    <mergeCell ref="AB1:AC1"/>
    <mergeCell ref="AD1:AE1"/>
    <mergeCell ref="AF1:AG1"/>
    <mergeCell ref="D1:E1"/>
    <mergeCell ref="D2:E2"/>
    <mergeCell ref="F2:G2"/>
    <mergeCell ref="H2:I2"/>
    <mergeCell ref="J2:K2"/>
    <mergeCell ref="L2:M2"/>
    <mergeCell ref="AB2:AC2"/>
    <mergeCell ref="AD2:AE2"/>
    <mergeCell ref="AF2:AG2"/>
    <mergeCell ref="AK2:AM3"/>
    <mergeCell ref="AB3:AC3"/>
    <mergeCell ref="AD3:AE3"/>
    <mergeCell ref="AF3:AG3"/>
    <mergeCell ref="N2:O2"/>
    <mergeCell ref="P2:Q2"/>
    <mergeCell ref="R2:S2"/>
    <mergeCell ref="T2:U2"/>
    <mergeCell ref="V2:W2"/>
    <mergeCell ref="X2:Y2"/>
    <mergeCell ref="Z2:AA2"/>
    <mergeCell ref="D3:E3"/>
    <mergeCell ref="F3:G3"/>
    <mergeCell ref="R3:S3"/>
    <mergeCell ref="T3:U3"/>
    <mergeCell ref="V3:W3"/>
    <mergeCell ref="X3:Y3"/>
    <mergeCell ref="Z3:AA3"/>
    <mergeCell ref="F1:G1"/>
    <mergeCell ref="H1:I1"/>
    <mergeCell ref="J1:K1"/>
    <mergeCell ref="L1:M1"/>
    <mergeCell ref="N1:O1"/>
    <mergeCell ref="P1:Q1"/>
    <mergeCell ref="P3:Q3"/>
    <mergeCell ref="V4:W4"/>
    <mergeCell ref="X4:Y4"/>
    <mergeCell ref="Z4:AA4"/>
    <mergeCell ref="AB4:AC4"/>
    <mergeCell ref="AD4:AE4"/>
    <mergeCell ref="AF4:AG4"/>
    <mergeCell ref="AK4:AM4"/>
    <mergeCell ref="L3:M3"/>
    <mergeCell ref="N3:O3"/>
    <mergeCell ref="L4:M4"/>
    <mergeCell ref="N4:O4"/>
    <mergeCell ref="P4:Q4"/>
    <mergeCell ref="R4:S4"/>
    <mergeCell ref="T4:U4"/>
    <mergeCell ref="H3:I3"/>
    <mergeCell ref="J3:K3"/>
    <mergeCell ref="H4:I4"/>
    <mergeCell ref="J4:K4"/>
    <mergeCell ref="H5:I5"/>
    <mergeCell ref="J5:K5"/>
    <mergeCell ref="L5:M5"/>
    <mergeCell ref="AB5:AC5"/>
    <mergeCell ref="AD5:AE5"/>
    <mergeCell ref="AF5:AG5"/>
    <mergeCell ref="AK5:AM5"/>
    <mergeCell ref="B2:C3"/>
    <mergeCell ref="B4:C4"/>
    <mergeCell ref="D4:E4"/>
    <mergeCell ref="F4:G4"/>
    <mergeCell ref="D5:E5"/>
    <mergeCell ref="F5:G5"/>
    <mergeCell ref="B6:C6"/>
    <mergeCell ref="V6:W6"/>
    <mergeCell ref="X6:Y6"/>
    <mergeCell ref="Z6:AA6"/>
    <mergeCell ref="AB6:AC6"/>
    <mergeCell ref="AD6:AE6"/>
    <mergeCell ref="AF6:AG6"/>
    <mergeCell ref="AK6:AM6"/>
    <mergeCell ref="N5:O5"/>
    <mergeCell ref="P5:Q5"/>
    <mergeCell ref="R5:S5"/>
    <mergeCell ref="T5:U5"/>
    <mergeCell ref="V5:W5"/>
    <mergeCell ref="X5:Y5"/>
    <mergeCell ref="Z5:AA5"/>
    <mergeCell ref="D6:E6"/>
    <mergeCell ref="D7:E7"/>
    <mergeCell ref="F7:G7"/>
    <mergeCell ref="H7:I7"/>
    <mergeCell ref="J7:K7"/>
    <mergeCell ref="L7:M7"/>
    <mergeCell ref="AB7:AC7"/>
    <mergeCell ref="AD7:AE7"/>
    <mergeCell ref="AF7:AG7"/>
    <mergeCell ref="AK7:AM7"/>
    <mergeCell ref="N7:O7"/>
    <mergeCell ref="P7:Q7"/>
    <mergeCell ref="R7:S7"/>
    <mergeCell ref="T7:U7"/>
    <mergeCell ref="V7:W7"/>
    <mergeCell ref="X7:Y7"/>
    <mergeCell ref="Z7:AA7"/>
    <mergeCell ref="D8:E8"/>
    <mergeCell ref="F8:G8"/>
    <mergeCell ref="AB8:AC8"/>
    <mergeCell ref="AD8:AE8"/>
    <mergeCell ref="AF8:AG8"/>
    <mergeCell ref="AK8:AM8"/>
    <mergeCell ref="R6:S6"/>
    <mergeCell ref="T6:U6"/>
    <mergeCell ref="R8:S8"/>
    <mergeCell ref="T8:U8"/>
    <mergeCell ref="V8:W8"/>
    <mergeCell ref="X8:Y8"/>
    <mergeCell ref="Z8:AA8"/>
    <mergeCell ref="AB11:AC11"/>
    <mergeCell ref="AD11:AE11"/>
    <mergeCell ref="N11:O11"/>
    <mergeCell ref="P11:Q11"/>
    <mergeCell ref="R11:S11"/>
    <mergeCell ref="T11:U11"/>
    <mergeCell ref="V11:W11"/>
    <mergeCell ref="X11:Y11"/>
    <mergeCell ref="Z11:AA11"/>
    <mergeCell ref="AK10:AM10"/>
    <mergeCell ref="AK11:AM11"/>
    <mergeCell ref="AK12:AM12"/>
    <mergeCell ref="AK13:AM14"/>
    <mergeCell ref="AK15:AM15"/>
    <mergeCell ref="AK16:AM16"/>
    <mergeCell ref="AK17:AM17"/>
    <mergeCell ref="AK25:AM25"/>
    <mergeCell ref="AK26:AM28"/>
    <mergeCell ref="AK18:AM18"/>
    <mergeCell ref="AK19:AM19"/>
    <mergeCell ref="AK20:AM20"/>
    <mergeCell ref="AK21:AM21"/>
    <mergeCell ref="AK22:AM22"/>
    <mergeCell ref="AK23:AM23"/>
    <mergeCell ref="AK24:AM24"/>
    <mergeCell ref="F6:G6"/>
    <mergeCell ref="H6:I6"/>
    <mergeCell ref="J6:K6"/>
    <mergeCell ref="L6:M6"/>
    <mergeCell ref="N6:O6"/>
    <mergeCell ref="P6:Q6"/>
    <mergeCell ref="B7:C8"/>
    <mergeCell ref="P8:Q8"/>
    <mergeCell ref="V9:W9"/>
    <mergeCell ref="X9:Y9"/>
    <mergeCell ref="Z9:AA9"/>
    <mergeCell ref="AB9:AC9"/>
    <mergeCell ref="AD9:AE9"/>
    <mergeCell ref="AF9:AG9"/>
    <mergeCell ref="AK9:AM9"/>
    <mergeCell ref="L8:M8"/>
    <mergeCell ref="N8:O8"/>
    <mergeCell ref="L9:M9"/>
    <mergeCell ref="N9:O9"/>
    <mergeCell ref="P9:Q9"/>
    <mergeCell ref="R9:S9"/>
    <mergeCell ref="T9:U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F11:AG11"/>
    <mergeCell ref="X12:Y12"/>
    <mergeCell ref="Z12:AA12"/>
    <mergeCell ref="AB12:AC12"/>
    <mergeCell ref="AD12:AE12"/>
    <mergeCell ref="AF12:AG12"/>
    <mergeCell ref="F12:G12"/>
    <mergeCell ref="H12:I12"/>
    <mergeCell ref="N12:O12"/>
    <mergeCell ref="P12:Q12"/>
    <mergeCell ref="R12:S12"/>
    <mergeCell ref="T12:U12"/>
    <mergeCell ref="V12:W12"/>
    <mergeCell ref="S24:Y24"/>
    <mergeCell ref="Z24:AF24"/>
    <mergeCell ref="B20:C20"/>
    <mergeCell ref="B21:C21"/>
    <mergeCell ref="L22:R22"/>
    <mergeCell ref="S22:Y22"/>
    <mergeCell ref="Z22:AF22"/>
    <mergeCell ref="AG22:AI22"/>
    <mergeCell ref="B23:C24"/>
    <mergeCell ref="AG24:AI24"/>
    <mergeCell ref="P25:Q25"/>
    <mergeCell ref="R25:S25"/>
    <mergeCell ref="T25:U25"/>
    <mergeCell ref="V25:W25"/>
    <mergeCell ref="X25:Y25"/>
    <mergeCell ref="Z25:AA25"/>
    <mergeCell ref="AB25:AC25"/>
    <mergeCell ref="AD25:AE25"/>
    <mergeCell ref="B26:B28"/>
    <mergeCell ref="C26:C28"/>
    <mergeCell ref="E26:K26"/>
    <mergeCell ref="L26:R26"/>
    <mergeCell ref="S26:Y26"/>
    <mergeCell ref="Z26:AF26"/>
    <mergeCell ref="AG26:AI26"/>
    <mergeCell ref="E24:K24"/>
    <mergeCell ref="L24:R24"/>
    <mergeCell ref="F25:G25"/>
    <mergeCell ref="H25:I25"/>
    <mergeCell ref="J25:K25"/>
    <mergeCell ref="L25:M25"/>
    <mergeCell ref="N25:O25"/>
    <mergeCell ref="H8:I8"/>
    <mergeCell ref="J8:K8"/>
    <mergeCell ref="D9:E9"/>
    <mergeCell ref="F9:G9"/>
    <mergeCell ref="H9:I9"/>
    <mergeCell ref="J9:K9"/>
    <mergeCell ref="B10:C10"/>
    <mergeCell ref="J12:K12"/>
    <mergeCell ref="L12:M12"/>
    <mergeCell ref="D10:E10"/>
    <mergeCell ref="F10:G10"/>
    <mergeCell ref="B11:C12"/>
    <mergeCell ref="F11:G11"/>
    <mergeCell ref="H11:I11"/>
    <mergeCell ref="J11:K11"/>
    <mergeCell ref="L11:M11"/>
    <mergeCell ref="B14:C17"/>
    <mergeCell ref="E14:K18"/>
    <mergeCell ref="L14:R18"/>
    <mergeCell ref="S14:Y18"/>
    <mergeCell ref="Z14:AF18"/>
    <mergeCell ref="AG14:AI18"/>
    <mergeCell ref="B19:C19"/>
    <mergeCell ref="E22:K22"/>
    <mergeCell ref="E23:K23"/>
    <mergeCell ref="L23:R23"/>
    <mergeCell ref="S23:Y23"/>
    <mergeCell ref="Z23:AF23"/>
    <mergeCell ref="AG23:AI23"/>
  </mergeCells>
  <dataValidations>
    <dataValidation type="custom" allowBlank="1" showDropDown="1" showErrorMessage="1" sqref="B2">
      <formula1>OR(NOT(ISERROR(DATEVALUE(B2))), AND(ISNUMBER(B2), LEFT(CELL("format", B2))="D"))</formula1>
    </dataValidation>
  </dataValidations>
  <printOptions gridLines="1" horizontalCentered="1"/>
  <pageMargins bottom="0.75" footer="0.0" header="0.0" left="0.25" right="0.25" top="0.75"/>
  <pageSetup cellComments="atEnd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8.29"/>
    <col customWidth="1" min="3" max="3" width="11.71"/>
    <col customWidth="1" min="4" max="4" width="5.57"/>
    <col customWidth="1" min="5" max="35" width="6.29"/>
    <col customWidth="1" min="36" max="36" width="1.57"/>
    <col customWidth="1" min="37" max="39" width="8.86"/>
  </cols>
  <sheetData>
    <row r="1" ht="12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</row>
    <row r="2" ht="12.75" customHeight="1">
      <c r="A2" s="87"/>
      <c r="B2" s="88">
        <f>NOW()</f>
        <v>46025.84722</v>
      </c>
      <c r="C2" s="89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</row>
    <row r="3" ht="12.75" customHeight="1">
      <c r="A3" s="87"/>
      <c r="B3" s="90" t="s">
        <v>17</v>
      </c>
      <c r="C3" s="13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</row>
    <row r="4" ht="12.75" customHeight="1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</row>
    <row r="5" ht="12.75" customHeight="1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</row>
    <row r="6" ht="12.75" customHeight="1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</row>
    <row r="7" ht="12.75" customHeight="1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</row>
    <row r="8" ht="12.75" customHeight="1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</row>
    <row r="9" ht="12.75" customHeight="1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</row>
    <row r="10" ht="12.75" customHeight="1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</row>
    <row r="11" ht="12.75" customHeight="1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</row>
    <row r="12" ht="12.75" customHeight="1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</row>
    <row r="13" ht="12.7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</row>
    <row r="14" ht="12.75" customHeight="1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</row>
    <row r="15" ht="12.75" customHeight="1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</row>
    <row r="16" ht="12.75" customHeight="1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</row>
    <row r="17" ht="12.75" customHeight="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</row>
    <row r="18" ht="12.75" customHeight="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</row>
    <row r="19" ht="12.75" customHeight="1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</row>
    <row r="20" ht="12.75" customHeight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</row>
    <row r="21" ht="12.75" customHeight="1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</row>
    <row r="22" ht="12.75" customHeight="1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</row>
    <row r="23" ht="12.75" customHeight="1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</row>
    <row r="24" ht="12.75" customHeigh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</row>
    <row r="25" ht="12.75" customHeight="1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</row>
    <row r="26" ht="12.75" customHeight="1">
      <c r="A26" s="87"/>
      <c r="B26" s="91" t="s">
        <v>18</v>
      </c>
      <c r="C26" s="91" t="s">
        <v>19</v>
      </c>
      <c r="D26" s="87"/>
      <c r="E26" s="92" t="s">
        <v>20</v>
      </c>
      <c r="F26" s="93"/>
      <c r="G26" s="93"/>
      <c r="H26" s="93"/>
      <c r="I26" s="93"/>
      <c r="J26" s="93"/>
      <c r="K26" s="94"/>
      <c r="L26" s="95" t="s">
        <v>21</v>
      </c>
      <c r="M26" s="96"/>
      <c r="N26" s="96"/>
      <c r="O26" s="96"/>
      <c r="P26" s="96"/>
      <c r="Q26" s="96"/>
      <c r="R26" s="97"/>
      <c r="S26" s="98" t="s">
        <v>22</v>
      </c>
      <c r="T26" s="96"/>
      <c r="U26" s="96"/>
      <c r="V26" s="96"/>
      <c r="W26" s="96"/>
      <c r="X26" s="96"/>
      <c r="Y26" s="97"/>
      <c r="Z26" s="99" t="s">
        <v>23</v>
      </c>
      <c r="AA26" s="96"/>
      <c r="AB26" s="96"/>
      <c r="AC26" s="96"/>
      <c r="AD26" s="96"/>
      <c r="AE26" s="96"/>
      <c r="AF26" s="97"/>
      <c r="AG26" s="100" t="s">
        <v>24</v>
      </c>
      <c r="AH26" s="96"/>
      <c r="AI26" s="97"/>
      <c r="AJ26" s="101"/>
      <c r="AK26" s="102" t="s">
        <v>10</v>
      </c>
      <c r="AL26" s="24"/>
      <c r="AM26" s="3"/>
    </row>
    <row r="27" ht="12.75" customHeight="1">
      <c r="A27" s="87"/>
      <c r="B27" s="60"/>
      <c r="C27" s="60"/>
      <c r="D27" s="87"/>
      <c r="E27" s="103" t="str">
        <f t="shared" ref="E27:AI27" si="1">IF(E28="","",TEXT(DATE(YEAR($B$2),MONTH($B$2),E28),"ddd"))</f>
        <v>Thu</v>
      </c>
      <c r="F27" s="104" t="str">
        <f t="shared" si="1"/>
        <v>Fri</v>
      </c>
      <c r="G27" s="105" t="str">
        <f t="shared" si="1"/>
        <v>Sat</v>
      </c>
      <c r="H27" s="105" t="str">
        <f t="shared" si="1"/>
        <v>Sun</v>
      </c>
      <c r="I27" s="105" t="str">
        <f t="shared" si="1"/>
        <v>Mon</v>
      </c>
      <c r="J27" s="105" t="str">
        <f t="shared" si="1"/>
        <v>Tue</v>
      </c>
      <c r="K27" s="105" t="str">
        <f t="shared" si="1"/>
        <v>Wed</v>
      </c>
      <c r="L27" s="106" t="str">
        <f t="shared" si="1"/>
        <v>Thu</v>
      </c>
      <c r="M27" s="107" t="str">
        <f t="shared" si="1"/>
        <v>Fri</v>
      </c>
      <c r="N27" s="107" t="str">
        <f t="shared" si="1"/>
        <v>Sat</v>
      </c>
      <c r="O27" s="107" t="str">
        <f t="shared" si="1"/>
        <v>Sun</v>
      </c>
      <c r="P27" s="107" t="str">
        <f t="shared" si="1"/>
        <v>Mon</v>
      </c>
      <c r="Q27" s="107" t="str">
        <f t="shared" si="1"/>
        <v>Tue</v>
      </c>
      <c r="R27" s="108" t="str">
        <f t="shared" si="1"/>
        <v>Wed</v>
      </c>
      <c r="S27" s="109" t="str">
        <f t="shared" si="1"/>
        <v>Thu</v>
      </c>
      <c r="T27" s="110" t="str">
        <f t="shared" si="1"/>
        <v>Fri</v>
      </c>
      <c r="U27" s="110" t="str">
        <f t="shared" si="1"/>
        <v>Sat</v>
      </c>
      <c r="V27" s="110" t="str">
        <f t="shared" si="1"/>
        <v>Sun</v>
      </c>
      <c r="W27" s="110" t="str">
        <f t="shared" si="1"/>
        <v>Mon</v>
      </c>
      <c r="X27" s="110" t="str">
        <f t="shared" si="1"/>
        <v>Tue</v>
      </c>
      <c r="Y27" s="111" t="str">
        <f t="shared" si="1"/>
        <v>Wed</v>
      </c>
      <c r="Z27" s="112" t="str">
        <f t="shared" si="1"/>
        <v>Thu</v>
      </c>
      <c r="AA27" s="113" t="str">
        <f t="shared" si="1"/>
        <v>Fri</v>
      </c>
      <c r="AB27" s="113" t="str">
        <f t="shared" si="1"/>
        <v>Sat</v>
      </c>
      <c r="AC27" s="113" t="str">
        <f t="shared" si="1"/>
        <v>Sun</v>
      </c>
      <c r="AD27" s="113" t="str">
        <f t="shared" si="1"/>
        <v>Mon</v>
      </c>
      <c r="AE27" s="113" t="str">
        <f t="shared" si="1"/>
        <v>Tue</v>
      </c>
      <c r="AF27" s="114" t="str">
        <f t="shared" si="1"/>
        <v>Wed</v>
      </c>
      <c r="AG27" s="115" t="str">
        <f t="shared" si="1"/>
        <v>Thu</v>
      </c>
      <c r="AH27" s="116" t="str">
        <f t="shared" si="1"/>
        <v>Fri</v>
      </c>
      <c r="AI27" s="117" t="str">
        <f t="shared" si="1"/>
        <v>Sat</v>
      </c>
      <c r="AJ27" s="87"/>
      <c r="AK27" s="27"/>
      <c r="AM27" s="28"/>
    </row>
    <row r="28" ht="12.75" customHeight="1">
      <c r="A28" s="87"/>
      <c r="B28" s="62"/>
      <c r="C28" s="62"/>
      <c r="D28" s="118"/>
      <c r="E28" s="119">
        <f t="shared" ref="E28:AI28" si="2">IF(COLUMN()-COLUMN($E$28)+1&lt;=DAY(EOMONTH($B$2,0)),COLUMN()-COLUMN($E$28)+1,"")</f>
        <v>1</v>
      </c>
      <c r="F28" s="120">
        <f t="shared" si="2"/>
        <v>2</v>
      </c>
      <c r="G28" s="120">
        <f t="shared" si="2"/>
        <v>3</v>
      </c>
      <c r="H28" s="120">
        <f t="shared" si="2"/>
        <v>4</v>
      </c>
      <c r="I28" s="120">
        <f t="shared" si="2"/>
        <v>5</v>
      </c>
      <c r="J28" s="120">
        <f t="shared" si="2"/>
        <v>6</v>
      </c>
      <c r="K28" s="121">
        <f t="shared" si="2"/>
        <v>7</v>
      </c>
      <c r="L28" s="122">
        <f t="shared" si="2"/>
        <v>8</v>
      </c>
      <c r="M28" s="123">
        <f t="shared" si="2"/>
        <v>9</v>
      </c>
      <c r="N28" s="123">
        <f t="shared" si="2"/>
        <v>10</v>
      </c>
      <c r="O28" s="123">
        <f t="shared" si="2"/>
        <v>11</v>
      </c>
      <c r="P28" s="123">
        <f t="shared" si="2"/>
        <v>12</v>
      </c>
      <c r="Q28" s="123">
        <f t="shared" si="2"/>
        <v>13</v>
      </c>
      <c r="R28" s="124">
        <f t="shared" si="2"/>
        <v>14</v>
      </c>
      <c r="S28" s="125">
        <f t="shared" si="2"/>
        <v>15</v>
      </c>
      <c r="T28" s="126">
        <f t="shared" si="2"/>
        <v>16</v>
      </c>
      <c r="U28" s="127">
        <f t="shared" si="2"/>
        <v>17</v>
      </c>
      <c r="V28" s="128">
        <f t="shared" si="2"/>
        <v>18</v>
      </c>
      <c r="W28" s="126">
        <f t="shared" si="2"/>
        <v>19</v>
      </c>
      <c r="X28" s="128">
        <f t="shared" si="2"/>
        <v>20</v>
      </c>
      <c r="Y28" s="127">
        <f t="shared" si="2"/>
        <v>21</v>
      </c>
      <c r="Z28" s="129">
        <f t="shared" si="2"/>
        <v>22</v>
      </c>
      <c r="AA28" s="130">
        <f t="shared" si="2"/>
        <v>23</v>
      </c>
      <c r="AB28" s="130">
        <f t="shared" si="2"/>
        <v>24</v>
      </c>
      <c r="AC28" s="130">
        <f t="shared" si="2"/>
        <v>25</v>
      </c>
      <c r="AD28" s="130">
        <f t="shared" si="2"/>
        <v>26</v>
      </c>
      <c r="AE28" s="130">
        <f t="shared" si="2"/>
        <v>27</v>
      </c>
      <c r="AF28" s="130">
        <f t="shared" si="2"/>
        <v>28</v>
      </c>
      <c r="AG28" s="131">
        <f t="shared" si="2"/>
        <v>29</v>
      </c>
      <c r="AH28" s="131">
        <f t="shared" si="2"/>
        <v>30</v>
      </c>
      <c r="AI28" s="132">
        <f t="shared" si="2"/>
        <v>31</v>
      </c>
      <c r="AJ28" s="87"/>
      <c r="AK28" s="7"/>
      <c r="AL28" s="30"/>
      <c r="AM28" s="8"/>
    </row>
    <row r="29" ht="12.75" customHeight="1">
      <c r="A29" s="87"/>
      <c r="B29" s="133"/>
      <c r="C29" s="134"/>
      <c r="D29" s="87"/>
      <c r="E29" s="135" t="b">
        <v>1</v>
      </c>
      <c r="F29" s="136"/>
      <c r="G29" s="137"/>
      <c r="H29" s="138"/>
      <c r="I29" s="138"/>
      <c r="J29" s="138"/>
      <c r="K29" s="136"/>
      <c r="L29" s="139"/>
      <c r="M29" s="140"/>
      <c r="N29" s="141"/>
      <c r="O29" s="140"/>
      <c r="P29" s="142"/>
      <c r="Q29" s="141"/>
      <c r="R29" s="143"/>
      <c r="S29" s="144"/>
      <c r="T29" s="145"/>
      <c r="U29" s="146"/>
      <c r="V29" s="147"/>
      <c r="W29" s="146"/>
      <c r="X29" s="145"/>
      <c r="Y29" s="148"/>
      <c r="Z29" s="149"/>
      <c r="AA29" s="150"/>
      <c r="AB29" s="151"/>
      <c r="AC29" s="152"/>
      <c r="AD29" s="150"/>
      <c r="AE29" s="151"/>
      <c r="AF29" s="153"/>
      <c r="AG29" s="154"/>
      <c r="AH29" s="154"/>
      <c r="AI29" s="155"/>
      <c r="AJ29" s="87"/>
      <c r="AK29" s="87">
        <f t="shared" ref="AK29:AK30" si="3">COUNTIF(E29:AI29,TRUE)</f>
        <v>1</v>
      </c>
      <c r="AL29" s="87"/>
      <c r="AM29" s="87"/>
    </row>
    <row r="30" ht="12.75" customHeight="1">
      <c r="A30" s="87"/>
      <c r="B30" s="156"/>
      <c r="C30" s="157"/>
      <c r="D30" s="118"/>
      <c r="E30" s="135" t="b">
        <v>0</v>
      </c>
      <c r="F30" s="158"/>
      <c r="G30" s="158"/>
      <c r="H30" s="158"/>
      <c r="I30" s="158"/>
      <c r="J30" s="158"/>
      <c r="K30" s="159"/>
      <c r="L30" s="160"/>
      <c r="M30" s="161"/>
      <c r="N30" s="162"/>
      <c r="O30" s="161" t="b">
        <v>1</v>
      </c>
      <c r="P30" s="163"/>
      <c r="Q30" s="162" t="b">
        <v>1</v>
      </c>
      <c r="R30" s="164" t="b">
        <v>1</v>
      </c>
      <c r="S30" s="165"/>
      <c r="T30" s="166" t="b">
        <v>1</v>
      </c>
      <c r="U30" s="167" t="b">
        <v>1</v>
      </c>
      <c r="V30" s="166" t="b">
        <v>1</v>
      </c>
      <c r="W30" s="167"/>
      <c r="X30" s="166" t="b">
        <v>1</v>
      </c>
      <c r="Y30" s="168"/>
      <c r="Z30" s="169" t="b">
        <v>1</v>
      </c>
      <c r="AA30" s="170"/>
      <c r="AB30" s="171"/>
      <c r="AC30" s="172"/>
      <c r="AD30" s="170" t="b">
        <v>1</v>
      </c>
      <c r="AE30" s="171" t="b">
        <v>1</v>
      </c>
      <c r="AF30" s="173" t="b">
        <v>1</v>
      </c>
      <c r="AG30" s="174"/>
      <c r="AH30" s="174"/>
      <c r="AI30" s="175"/>
      <c r="AJ30" s="87"/>
      <c r="AK30" s="87">
        <f t="shared" si="3"/>
        <v>11</v>
      </c>
      <c r="AL30" s="87"/>
      <c r="AM30" s="87"/>
    </row>
    <row r="31" ht="12.75" customHeight="1">
      <c r="A31" s="87"/>
      <c r="B31" s="156"/>
      <c r="C31" s="157"/>
      <c r="D31" s="118"/>
      <c r="E31" s="135" t="b">
        <v>1</v>
      </c>
      <c r="F31" s="176"/>
      <c r="G31" s="176"/>
      <c r="H31" s="176"/>
      <c r="I31" s="176"/>
      <c r="J31" s="176"/>
      <c r="K31" s="136"/>
      <c r="L31" s="177"/>
      <c r="M31" s="178"/>
      <c r="N31" s="179"/>
      <c r="O31" s="178"/>
      <c r="P31" s="142"/>
      <c r="Q31" s="179" t="b">
        <v>1</v>
      </c>
      <c r="R31" s="143"/>
      <c r="S31" s="144"/>
      <c r="T31" s="147"/>
      <c r="U31" s="146"/>
      <c r="V31" s="147"/>
      <c r="W31" s="146"/>
      <c r="X31" s="147" t="b">
        <v>0</v>
      </c>
      <c r="Y31" s="148"/>
      <c r="Z31" s="149" t="b">
        <v>1</v>
      </c>
      <c r="AA31" s="180"/>
      <c r="AB31" s="181"/>
      <c r="AC31" s="182"/>
      <c r="AD31" s="180" t="b">
        <v>1</v>
      </c>
      <c r="AE31" s="181" t="b">
        <v>1</v>
      </c>
      <c r="AF31" s="183" t="b">
        <v>0</v>
      </c>
      <c r="AG31" s="184" t="b">
        <v>1</v>
      </c>
      <c r="AH31" s="184" t="b">
        <v>1</v>
      </c>
      <c r="AI31" s="155"/>
      <c r="AJ31" s="87"/>
      <c r="AK31" s="87"/>
      <c r="AL31" s="87"/>
      <c r="AM31" s="87"/>
    </row>
    <row r="32" ht="12.75" customHeight="1">
      <c r="A32" s="87"/>
      <c r="B32" s="156"/>
      <c r="C32" s="157"/>
      <c r="D32" s="118"/>
      <c r="E32" s="135" t="b">
        <v>1</v>
      </c>
      <c r="F32" s="158"/>
      <c r="G32" s="158"/>
      <c r="H32" s="158"/>
      <c r="I32" s="158"/>
      <c r="J32" s="158"/>
      <c r="K32" s="159"/>
      <c r="L32" s="160"/>
      <c r="M32" s="161"/>
      <c r="N32" s="162"/>
      <c r="O32" s="161"/>
      <c r="P32" s="163"/>
      <c r="Q32" s="162"/>
      <c r="R32" s="164"/>
      <c r="S32" s="165"/>
      <c r="T32" s="166"/>
      <c r="U32" s="167"/>
      <c r="V32" s="166"/>
      <c r="W32" s="167"/>
      <c r="X32" s="166"/>
      <c r="Y32" s="168"/>
      <c r="Z32" s="169"/>
      <c r="AA32" s="170"/>
      <c r="AB32" s="171"/>
      <c r="AC32" s="172"/>
      <c r="AD32" s="170"/>
      <c r="AE32" s="171"/>
      <c r="AF32" s="173"/>
      <c r="AG32" s="174"/>
      <c r="AH32" s="174"/>
      <c r="AI32" s="175"/>
      <c r="AJ32" s="87"/>
      <c r="AK32" s="87"/>
      <c r="AL32" s="87"/>
      <c r="AM32" s="87"/>
    </row>
    <row r="33" ht="12.75" customHeight="1">
      <c r="A33" s="87"/>
      <c r="B33" s="156"/>
      <c r="C33" s="157"/>
      <c r="D33" s="118"/>
      <c r="E33" s="135" t="b">
        <v>1</v>
      </c>
      <c r="F33" s="176"/>
      <c r="G33" s="176"/>
      <c r="H33" s="176"/>
      <c r="I33" s="176"/>
      <c r="J33" s="176"/>
      <c r="K33" s="136"/>
      <c r="L33" s="177"/>
      <c r="M33" s="178"/>
      <c r="N33" s="179"/>
      <c r="O33" s="178"/>
      <c r="P33" s="142"/>
      <c r="Q33" s="179"/>
      <c r="R33" s="143"/>
      <c r="S33" s="144"/>
      <c r="T33" s="147"/>
      <c r="U33" s="146"/>
      <c r="V33" s="147"/>
      <c r="W33" s="146"/>
      <c r="X33" s="147"/>
      <c r="Y33" s="148"/>
      <c r="Z33" s="149"/>
      <c r="AA33" s="180"/>
      <c r="AB33" s="181"/>
      <c r="AC33" s="182"/>
      <c r="AD33" s="180"/>
      <c r="AE33" s="181"/>
      <c r="AF33" s="183"/>
      <c r="AG33" s="184"/>
      <c r="AH33" s="184"/>
      <c r="AI33" s="155"/>
      <c r="AJ33" s="87"/>
      <c r="AK33" s="87"/>
      <c r="AL33" s="87"/>
      <c r="AM33" s="87"/>
    </row>
    <row r="34" ht="12.75" customHeight="1">
      <c r="A34" s="87"/>
      <c r="B34" s="156"/>
      <c r="C34" s="157"/>
      <c r="D34" s="118"/>
      <c r="E34" s="135" t="b">
        <v>1</v>
      </c>
      <c r="F34" s="158"/>
      <c r="G34" s="158"/>
      <c r="H34" s="158"/>
      <c r="I34" s="158"/>
      <c r="J34" s="158"/>
      <c r="K34" s="159"/>
      <c r="L34" s="160"/>
      <c r="M34" s="161"/>
      <c r="N34" s="162"/>
      <c r="O34" s="161"/>
      <c r="P34" s="163"/>
      <c r="Q34" s="162"/>
      <c r="R34" s="164"/>
      <c r="S34" s="165"/>
      <c r="T34" s="166"/>
      <c r="U34" s="167"/>
      <c r="V34" s="166"/>
      <c r="W34" s="167"/>
      <c r="X34" s="166"/>
      <c r="Y34" s="168"/>
      <c r="Z34" s="169"/>
      <c r="AA34" s="170"/>
      <c r="AB34" s="171"/>
      <c r="AC34" s="172"/>
      <c r="AD34" s="170"/>
      <c r="AE34" s="171"/>
      <c r="AF34" s="173"/>
      <c r="AG34" s="174"/>
      <c r="AH34" s="174"/>
      <c r="AI34" s="175"/>
      <c r="AJ34" s="87"/>
      <c r="AK34" s="87"/>
      <c r="AL34" s="87"/>
      <c r="AM34" s="87"/>
    </row>
    <row r="35" ht="12.75" customHeight="1">
      <c r="A35" s="87"/>
      <c r="B35" s="156"/>
      <c r="C35" s="157"/>
      <c r="D35" s="118"/>
      <c r="E35" s="135" t="b">
        <v>1</v>
      </c>
      <c r="F35" s="176"/>
      <c r="G35" s="176"/>
      <c r="H35" s="176"/>
      <c r="I35" s="176"/>
      <c r="J35" s="176"/>
      <c r="K35" s="136"/>
      <c r="L35" s="177"/>
      <c r="M35" s="178"/>
      <c r="N35" s="179"/>
      <c r="O35" s="178"/>
      <c r="P35" s="142"/>
      <c r="Q35" s="179"/>
      <c r="R35" s="143"/>
      <c r="S35" s="144"/>
      <c r="T35" s="147"/>
      <c r="U35" s="146"/>
      <c r="V35" s="147"/>
      <c r="W35" s="146"/>
      <c r="X35" s="147"/>
      <c r="Y35" s="148"/>
      <c r="Z35" s="149"/>
      <c r="AA35" s="180"/>
      <c r="AB35" s="181"/>
      <c r="AC35" s="182"/>
      <c r="AD35" s="180"/>
      <c r="AE35" s="181"/>
      <c r="AF35" s="183"/>
      <c r="AG35" s="184"/>
      <c r="AH35" s="184"/>
      <c r="AI35" s="155"/>
      <c r="AJ35" s="87"/>
      <c r="AK35" s="87"/>
      <c r="AL35" s="87"/>
      <c r="AM35" s="87" t="s">
        <v>25</v>
      </c>
    </row>
    <row r="36" ht="12.75" customHeight="1">
      <c r="A36" s="87"/>
      <c r="B36" s="156"/>
      <c r="C36" s="157"/>
      <c r="D36" s="118"/>
      <c r="E36" s="135" t="b">
        <v>1</v>
      </c>
      <c r="F36" s="158"/>
      <c r="G36" s="158"/>
      <c r="H36" s="158"/>
      <c r="I36" s="158"/>
      <c r="J36" s="158"/>
      <c r="K36" s="159"/>
      <c r="L36" s="160"/>
      <c r="M36" s="161"/>
      <c r="N36" s="162"/>
      <c r="O36" s="161"/>
      <c r="P36" s="163"/>
      <c r="Q36" s="162"/>
      <c r="R36" s="164"/>
      <c r="S36" s="165"/>
      <c r="T36" s="166"/>
      <c r="U36" s="167"/>
      <c r="V36" s="166"/>
      <c r="W36" s="167"/>
      <c r="X36" s="166"/>
      <c r="Y36" s="168"/>
      <c r="Z36" s="169"/>
      <c r="AA36" s="170"/>
      <c r="AB36" s="171"/>
      <c r="AC36" s="172"/>
      <c r="AD36" s="170"/>
      <c r="AE36" s="171"/>
      <c r="AF36" s="173"/>
      <c r="AG36" s="174"/>
      <c r="AH36" s="174"/>
      <c r="AI36" s="175"/>
      <c r="AJ36" s="185"/>
      <c r="AK36" s="87"/>
      <c r="AL36" s="87"/>
      <c r="AM36" s="87"/>
    </row>
    <row r="37" ht="12.75" customHeight="1">
      <c r="A37" s="87"/>
      <c r="B37" s="156"/>
      <c r="C37" s="157"/>
      <c r="D37" s="118"/>
      <c r="E37" s="135" t="b">
        <v>1</v>
      </c>
      <c r="F37" s="176"/>
      <c r="G37" s="176"/>
      <c r="H37" s="176"/>
      <c r="I37" s="176"/>
      <c r="J37" s="176" t="b">
        <v>1</v>
      </c>
      <c r="K37" s="136"/>
      <c r="L37" s="177"/>
      <c r="M37" s="178"/>
      <c r="N37" s="179"/>
      <c r="O37" s="178"/>
      <c r="P37" s="142"/>
      <c r="Q37" s="179"/>
      <c r="R37" s="143"/>
      <c r="S37" s="144"/>
      <c r="T37" s="147"/>
      <c r="U37" s="146"/>
      <c r="V37" s="147"/>
      <c r="W37" s="146"/>
      <c r="X37" s="147"/>
      <c r="Y37" s="148"/>
      <c r="Z37" s="149"/>
      <c r="AA37" s="180"/>
      <c r="AB37" s="181"/>
      <c r="AC37" s="182"/>
      <c r="AD37" s="180"/>
      <c r="AE37" s="181"/>
      <c r="AF37" s="183"/>
      <c r="AG37" s="184"/>
      <c r="AH37" s="184"/>
      <c r="AI37" s="155"/>
      <c r="AJ37" s="87"/>
      <c r="AK37" s="87"/>
      <c r="AL37" s="87"/>
      <c r="AM37" s="87"/>
    </row>
    <row r="38" ht="12.75" customHeight="1">
      <c r="A38" s="87"/>
      <c r="B38" s="156"/>
      <c r="C38" s="157"/>
      <c r="D38" s="118"/>
      <c r="E38" s="135" t="b">
        <v>1</v>
      </c>
      <c r="F38" s="158"/>
      <c r="G38" s="158"/>
      <c r="H38" s="158"/>
      <c r="I38" s="158"/>
      <c r="J38" s="158"/>
      <c r="K38" s="159"/>
      <c r="L38" s="160"/>
      <c r="M38" s="161"/>
      <c r="N38" s="162"/>
      <c r="O38" s="161"/>
      <c r="P38" s="163"/>
      <c r="Q38" s="162"/>
      <c r="R38" s="164"/>
      <c r="S38" s="165"/>
      <c r="T38" s="166"/>
      <c r="U38" s="167"/>
      <c r="V38" s="166"/>
      <c r="W38" s="167"/>
      <c r="X38" s="166"/>
      <c r="Y38" s="168"/>
      <c r="Z38" s="169"/>
      <c r="AA38" s="170" t="b">
        <v>1</v>
      </c>
      <c r="AB38" s="171" t="b">
        <v>1</v>
      </c>
      <c r="AC38" s="172"/>
      <c r="AD38" s="170"/>
      <c r="AE38" s="171"/>
      <c r="AF38" s="173"/>
      <c r="AG38" s="174"/>
      <c r="AH38" s="174"/>
      <c r="AI38" s="175"/>
      <c r="AJ38" s="185"/>
      <c r="AK38" s="87"/>
      <c r="AL38" s="87"/>
      <c r="AM38" s="87"/>
    </row>
    <row r="39" ht="12.75" customHeight="1">
      <c r="A39" s="87"/>
      <c r="B39" s="156"/>
      <c r="C39" s="157"/>
      <c r="D39" s="118"/>
      <c r="E39" s="135" t="b">
        <v>1</v>
      </c>
      <c r="F39" s="176"/>
      <c r="G39" s="176"/>
      <c r="H39" s="176"/>
      <c r="I39" s="176"/>
      <c r="J39" s="176"/>
      <c r="K39" s="136"/>
      <c r="L39" s="177"/>
      <c r="M39" s="178"/>
      <c r="N39" s="179"/>
      <c r="O39" s="178"/>
      <c r="P39" s="142"/>
      <c r="Q39" s="179"/>
      <c r="R39" s="143"/>
      <c r="S39" s="144"/>
      <c r="T39" s="147"/>
      <c r="U39" s="146"/>
      <c r="V39" s="147"/>
      <c r="W39" s="146"/>
      <c r="X39" s="147"/>
      <c r="Y39" s="148"/>
      <c r="Z39" s="149"/>
      <c r="AA39" s="180"/>
      <c r="AB39" s="181"/>
      <c r="AC39" s="182"/>
      <c r="AD39" s="180"/>
      <c r="AE39" s="181"/>
      <c r="AF39" s="183"/>
      <c r="AG39" s="184"/>
      <c r="AH39" s="184"/>
      <c r="AI39" s="155"/>
      <c r="AJ39" s="87"/>
      <c r="AK39" s="87"/>
      <c r="AL39" s="87"/>
      <c r="AM39" s="87"/>
    </row>
    <row r="40" ht="12.75" customHeight="1">
      <c r="A40" s="87"/>
      <c r="B40" s="156"/>
      <c r="C40" s="157"/>
      <c r="D40" s="118"/>
      <c r="E40" s="135" t="b">
        <v>1</v>
      </c>
      <c r="F40" s="158"/>
      <c r="G40" s="158"/>
      <c r="H40" s="158"/>
      <c r="I40" s="158"/>
      <c r="J40" s="158" t="b">
        <v>1</v>
      </c>
      <c r="K40" s="159"/>
      <c r="L40" s="160"/>
      <c r="M40" s="161" t="b">
        <v>1</v>
      </c>
      <c r="N40" s="162"/>
      <c r="O40" s="161" t="b">
        <v>1</v>
      </c>
      <c r="P40" s="163"/>
      <c r="Q40" s="162"/>
      <c r="R40" s="164"/>
      <c r="S40" s="165"/>
      <c r="T40" s="166"/>
      <c r="U40" s="167"/>
      <c r="V40" s="166"/>
      <c r="W40" s="167"/>
      <c r="X40" s="166"/>
      <c r="Y40" s="168"/>
      <c r="Z40" s="169"/>
      <c r="AA40" s="170"/>
      <c r="AB40" s="171"/>
      <c r="AC40" s="172"/>
      <c r="AD40" s="170"/>
      <c r="AE40" s="171"/>
      <c r="AF40" s="173"/>
      <c r="AG40" s="174"/>
      <c r="AH40" s="174"/>
      <c r="AI40" s="175"/>
      <c r="AJ40" s="87"/>
      <c r="AK40" s="87"/>
      <c r="AL40" s="87"/>
      <c r="AM40" s="87"/>
    </row>
    <row r="41" ht="12.75" customHeight="1">
      <c r="A41" s="87"/>
      <c r="B41" s="156"/>
      <c r="C41" s="157"/>
      <c r="D41" s="118"/>
      <c r="E41" s="135" t="b">
        <v>1</v>
      </c>
      <c r="F41" s="176"/>
      <c r="G41" s="176" t="b">
        <v>1</v>
      </c>
      <c r="H41" s="176"/>
      <c r="I41" s="176"/>
      <c r="J41" s="176"/>
      <c r="K41" s="136"/>
      <c r="L41" s="177"/>
      <c r="M41" s="178" t="b">
        <v>1</v>
      </c>
      <c r="N41" s="179"/>
      <c r="O41" s="178"/>
      <c r="P41" s="142"/>
      <c r="Q41" s="179"/>
      <c r="R41" s="143"/>
      <c r="S41" s="144"/>
      <c r="T41" s="147"/>
      <c r="U41" s="146"/>
      <c r="V41" s="147"/>
      <c r="W41" s="146"/>
      <c r="X41" s="147"/>
      <c r="Y41" s="148"/>
      <c r="Z41" s="149"/>
      <c r="AA41" s="180"/>
      <c r="AB41" s="181" t="b">
        <v>1</v>
      </c>
      <c r="AC41" s="182"/>
      <c r="AD41" s="180"/>
      <c r="AE41" s="181"/>
      <c r="AF41" s="183"/>
      <c r="AG41" s="184"/>
      <c r="AH41" s="184"/>
      <c r="AI41" s="155"/>
      <c r="AJ41" s="87"/>
      <c r="AK41" s="87"/>
      <c r="AL41" s="87"/>
      <c r="AM41" s="87"/>
    </row>
    <row r="42" ht="12.75" customHeight="1">
      <c r="A42" s="87"/>
      <c r="B42" s="156"/>
      <c r="C42" s="157"/>
      <c r="D42" s="118"/>
      <c r="E42" s="135" t="b">
        <v>1</v>
      </c>
      <c r="F42" s="158"/>
      <c r="G42" s="158"/>
      <c r="H42" s="158"/>
      <c r="I42" s="158"/>
      <c r="J42" s="158"/>
      <c r="K42" s="159"/>
      <c r="L42" s="160"/>
      <c r="M42" s="161"/>
      <c r="N42" s="162"/>
      <c r="O42" s="161"/>
      <c r="P42" s="163"/>
      <c r="Q42" s="162"/>
      <c r="R42" s="164"/>
      <c r="S42" s="165"/>
      <c r="T42" s="166"/>
      <c r="U42" s="167"/>
      <c r="V42" s="166"/>
      <c r="W42" s="167"/>
      <c r="X42" s="166"/>
      <c r="Y42" s="168"/>
      <c r="Z42" s="169"/>
      <c r="AA42" s="170"/>
      <c r="AB42" s="171"/>
      <c r="AC42" s="172"/>
      <c r="AD42" s="170"/>
      <c r="AE42" s="171"/>
      <c r="AF42" s="173"/>
      <c r="AG42" s="174"/>
      <c r="AH42" s="174"/>
      <c r="AI42" s="175"/>
      <c r="AJ42" s="87"/>
      <c r="AK42" s="87"/>
      <c r="AL42" s="87"/>
      <c r="AM42" s="87"/>
    </row>
    <row r="43" ht="12.75" customHeight="1">
      <c r="A43" s="87"/>
      <c r="B43" s="156"/>
      <c r="C43" s="157"/>
      <c r="D43" s="118"/>
      <c r="E43" s="135" t="b">
        <v>1</v>
      </c>
      <c r="F43" s="176"/>
      <c r="G43" s="176" t="b">
        <v>1</v>
      </c>
      <c r="H43" s="176"/>
      <c r="I43" s="176"/>
      <c r="J43" s="176"/>
      <c r="K43" s="136"/>
      <c r="L43" s="177"/>
      <c r="M43" s="178" t="b">
        <v>1</v>
      </c>
      <c r="N43" s="179"/>
      <c r="O43" s="178"/>
      <c r="P43" s="142"/>
      <c r="Q43" s="179"/>
      <c r="R43" s="143"/>
      <c r="S43" s="144"/>
      <c r="T43" s="147"/>
      <c r="U43" s="146"/>
      <c r="V43" s="147"/>
      <c r="W43" s="146"/>
      <c r="X43" s="147"/>
      <c r="Y43" s="148"/>
      <c r="Z43" s="149"/>
      <c r="AA43" s="180"/>
      <c r="AB43" s="181"/>
      <c r="AC43" s="182"/>
      <c r="AD43" s="180"/>
      <c r="AE43" s="181"/>
      <c r="AF43" s="183"/>
      <c r="AG43" s="184"/>
      <c r="AH43" s="184"/>
      <c r="AI43" s="155"/>
      <c r="AJ43" s="87"/>
      <c r="AK43" s="87"/>
      <c r="AL43" s="87"/>
      <c r="AM43" s="87"/>
    </row>
    <row r="44" ht="12.75" customHeight="1">
      <c r="A44" s="87"/>
      <c r="B44" s="156"/>
      <c r="C44" s="157"/>
      <c r="D44" s="118"/>
      <c r="E44" s="135" t="b">
        <v>1</v>
      </c>
      <c r="F44" s="158"/>
      <c r="G44" s="158" t="b">
        <v>1</v>
      </c>
      <c r="H44" s="158"/>
      <c r="I44" s="158" t="b">
        <v>1</v>
      </c>
      <c r="J44" s="158"/>
      <c r="K44" s="159"/>
      <c r="L44" s="160"/>
      <c r="M44" s="161"/>
      <c r="N44" s="162"/>
      <c r="O44" s="161"/>
      <c r="P44" s="163"/>
      <c r="Q44" s="162"/>
      <c r="R44" s="164"/>
      <c r="S44" s="165"/>
      <c r="T44" s="166"/>
      <c r="U44" s="167"/>
      <c r="V44" s="166"/>
      <c r="W44" s="167"/>
      <c r="X44" s="166"/>
      <c r="Y44" s="168"/>
      <c r="Z44" s="169"/>
      <c r="AA44" s="170"/>
      <c r="AB44" s="171"/>
      <c r="AC44" s="172"/>
      <c r="AD44" s="170"/>
      <c r="AE44" s="171"/>
      <c r="AF44" s="173"/>
      <c r="AG44" s="174"/>
      <c r="AH44" s="174"/>
      <c r="AI44" s="175"/>
      <c r="AJ44" s="87"/>
      <c r="AK44" s="87"/>
      <c r="AL44" s="87"/>
      <c r="AM44" s="87"/>
    </row>
    <row r="45" ht="12.75" customHeight="1">
      <c r="A45" s="87"/>
      <c r="B45" s="156"/>
      <c r="C45" s="157"/>
      <c r="D45" s="118"/>
      <c r="E45" s="135" t="b">
        <v>1</v>
      </c>
      <c r="F45" s="176"/>
      <c r="G45" s="176" t="b">
        <v>1</v>
      </c>
      <c r="H45" s="176"/>
      <c r="I45" s="176" t="b">
        <v>0</v>
      </c>
      <c r="J45" s="176"/>
      <c r="K45" s="136"/>
      <c r="L45" s="177"/>
      <c r="M45" s="178"/>
      <c r="N45" s="179"/>
      <c r="O45" s="178"/>
      <c r="P45" s="142"/>
      <c r="Q45" s="179"/>
      <c r="R45" s="143"/>
      <c r="S45" s="144"/>
      <c r="T45" s="147"/>
      <c r="U45" s="146"/>
      <c r="V45" s="147"/>
      <c r="W45" s="146"/>
      <c r="X45" s="147"/>
      <c r="Y45" s="148"/>
      <c r="Z45" s="149"/>
      <c r="AA45" s="180"/>
      <c r="AB45" s="181"/>
      <c r="AC45" s="182"/>
      <c r="AD45" s="180"/>
      <c r="AE45" s="181"/>
      <c r="AF45" s="183"/>
      <c r="AG45" s="184"/>
      <c r="AH45" s="184"/>
      <c r="AI45" s="155"/>
      <c r="AJ45" s="87"/>
      <c r="AK45" s="87"/>
      <c r="AL45" s="87"/>
      <c r="AM45" s="87"/>
    </row>
    <row r="46" ht="12.75" customHeight="1">
      <c r="A46" s="87"/>
      <c r="B46" s="156"/>
      <c r="C46" s="157"/>
      <c r="D46" s="118"/>
      <c r="E46" s="135" t="b">
        <v>1</v>
      </c>
      <c r="F46" s="158"/>
      <c r="G46" s="158" t="b">
        <v>1</v>
      </c>
      <c r="H46" s="158"/>
      <c r="I46" s="158"/>
      <c r="J46" s="158"/>
      <c r="K46" s="159"/>
      <c r="L46" s="160"/>
      <c r="M46" s="161" t="b">
        <v>1</v>
      </c>
      <c r="N46" s="162"/>
      <c r="O46" s="161"/>
      <c r="P46" s="163"/>
      <c r="Q46" s="162"/>
      <c r="R46" s="164"/>
      <c r="S46" s="165"/>
      <c r="T46" s="166"/>
      <c r="U46" s="167"/>
      <c r="V46" s="166"/>
      <c r="W46" s="167"/>
      <c r="X46" s="166"/>
      <c r="Y46" s="168"/>
      <c r="Z46" s="169"/>
      <c r="AA46" s="170"/>
      <c r="AB46" s="171"/>
      <c r="AC46" s="172"/>
      <c r="AD46" s="170"/>
      <c r="AE46" s="171"/>
      <c r="AF46" s="173"/>
      <c r="AG46" s="174"/>
      <c r="AH46" s="174"/>
      <c r="AI46" s="175"/>
      <c r="AJ46" s="87"/>
      <c r="AK46" s="87"/>
      <c r="AL46" s="87"/>
      <c r="AM46" s="87"/>
    </row>
    <row r="47" ht="12.75" customHeight="1">
      <c r="A47" s="87"/>
      <c r="B47" s="156"/>
      <c r="C47" s="157"/>
      <c r="D47" s="118"/>
      <c r="E47" s="135" t="b">
        <v>1</v>
      </c>
      <c r="F47" s="176"/>
      <c r="G47" s="176" t="b">
        <v>0</v>
      </c>
      <c r="H47" s="176"/>
      <c r="I47" s="176"/>
      <c r="J47" s="176"/>
      <c r="K47" s="136"/>
      <c r="L47" s="177"/>
      <c r="M47" s="178" t="b">
        <v>1</v>
      </c>
      <c r="N47" s="179"/>
      <c r="O47" s="178"/>
      <c r="P47" s="142"/>
      <c r="Q47" s="179"/>
      <c r="R47" s="143"/>
      <c r="S47" s="144"/>
      <c r="T47" s="147"/>
      <c r="U47" s="146"/>
      <c r="V47" s="147"/>
      <c r="W47" s="146"/>
      <c r="X47" s="147"/>
      <c r="Y47" s="148"/>
      <c r="Z47" s="149"/>
      <c r="AA47" s="180"/>
      <c r="AB47" s="181"/>
      <c r="AC47" s="182"/>
      <c r="AD47" s="180"/>
      <c r="AE47" s="181"/>
      <c r="AF47" s="183"/>
      <c r="AG47" s="184"/>
      <c r="AH47" s="184"/>
      <c r="AI47" s="155"/>
      <c r="AJ47" s="87"/>
      <c r="AK47" s="87"/>
      <c r="AL47" s="87"/>
      <c r="AM47" s="87"/>
    </row>
    <row r="48" ht="12.75" customHeight="1">
      <c r="A48" s="87"/>
      <c r="B48" s="186"/>
      <c r="C48" s="187"/>
      <c r="D48" s="118"/>
      <c r="E48" s="135"/>
      <c r="F48" s="188"/>
      <c r="G48" s="188"/>
      <c r="H48" s="188"/>
      <c r="I48" s="188"/>
      <c r="J48" s="188"/>
      <c r="K48" s="189"/>
      <c r="L48" s="190"/>
      <c r="M48" s="191"/>
      <c r="N48" s="192"/>
      <c r="O48" s="191"/>
      <c r="P48" s="193"/>
      <c r="Q48" s="192"/>
      <c r="R48" s="194"/>
      <c r="S48" s="195"/>
      <c r="T48" s="196"/>
      <c r="U48" s="197"/>
      <c r="V48" s="196"/>
      <c r="W48" s="197"/>
      <c r="X48" s="196"/>
      <c r="Y48" s="198"/>
      <c r="Z48" s="199"/>
      <c r="AA48" s="200"/>
      <c r="AB48" s="201"/>
      <c r="AC48" s="202"/>
      <c r="AD48" s="200"/>
      <c r="AE48" s="201"/>
      <c r="AF48" s="203"/>
      <c r="AG48" s="204"/>
      <c r="AH48" s="205"/>
      <c r="AI48" s="206"/>
      <c r="AJ48" s="185"/>
      <c r="AK48" s="87"/>
      <c r="AL48" s="87"/>
      <c r="AM48" s="87"/>
    </row>
    <row r="49" ht="12.75" customHeight="1">
      <c r="A49" s="87"/>
      <c r="B49" s="87"/>
      <c r="C49" s="87"/>
      <c r="D49" s="87"/>
      <c r="E49" s="87" t="b">
        <v>1</v>
      </c>
      <c r="F49" s="207"/>
      <c r="G49" s="87"/>
      <c r="H49" s="87"/>
      <c r="I49" s="207"/>
      <c r="J49" s="87"/>
      <c r="K49" s="87"/>
      <c r="L49" s="207"/>
      <c r="M49" s="207"/>
      <c r="N49" s="87"/>
      <c r="O49" s="207"/>
      <c r="P49" s="87"/>
      <c r="Q49" s="208"/>
      <c r="R49" s="87"/>
      <c r="S49" s="207"/>
      <c r="T49" s="208"/>
      <c r="U49" s="87"/>
      <c r="V49" s="209"/>
      <c r="W49" s="87"/>
      <c r="X49" s="209"/>
      <c r="Y49" s="87"/>
      <c r="Z49" s="87"/>
      <c r="AA49" s="210"/>
      <c r="AB49" s="208"/>
      <c r="AC49" s="207"/>
      <c r="AD49" s="211"/>
      <c r="AE49" s="209"/>
      <c r="AF49" s="212"/>
      <c r="AG49" s="213"/>
      <c r="AH49" s="207"/>
      <c r="AI49" s="87"/>
      <c r="AJ49" s="87"/>
      <c r="AK49" s="87"/>
      <c r="AL49" s="87"/>
      <c r="AM49" s="87"/>
    </row>
    <row r="50" ht="12.75" customHeight="1">
      <c r="A50" s="87"/>
      <c r="B50" s="87"/>
      <c r="C50" s="87"/>
      <c r="D50" s="87"/>
      <c r="E50" s="87"/>
      <c r="F50" s="87"/>
      <c r="G50" s="87"/>
      <c r="H50" s="87"/>
      <c r="I50" s="207"/>
      <c r="J50" s="87"/>
      <c r="K50" s="87"/>
      <c r="L50" s="207"/>
      <c r="M50" s="87"/>
      <c r="N50" s="87"/>
      <c r="O50" s="87"/>
      <c r="P50" s="87"/>
      <c r="Q50" s="208"/>
      <c r="R50" s="87"/>
      <c r="S50" s="207"/>
      <c r="T50" s="208"/>
      <c r="U50" s="87"/>
      <c r="V50" s="87"/>
      <c r="W50" s="87"/>
      <c r="X50" s="87"/>
      <c r="Y50" s="87"/>
      <c r="Z50" s="87"/>
      <c r="AA50" s="210"/>
      <c r="AB50" s="208"/>
      <c r="AC50" s="207"/>
      <c r="AD50" s="87"/>
      <c r="AE50" s="87"/>
      <c r="AF50" s="87"/>
      <c r="AG50" s="87"/>
      <c r="AH50" s="207"/>
      <c r="AI50" s="87"/>
      <c r="AJ50" s="87"/>
      <c r="AK50" s="87"/>
      <c r="AL50" s="87"/>
      <c r="AM50" s="87"/>
    </row>
    <row r="51" ht="12.75" customHeight="1">
      <c r="A51" s="87"/>
      <c r="B51" s="87"/>
      <c r="C51" s="87"/>
      <c r="D51" s="87"/>
      <c r="E51" s="87"/>
      <c r="F51" s="87"/>
      <c r="G51" s="87"/>
      <c r="H51" s="87"/>
      <c r="I51" s="207"/>
      <c r="J51" s="87"/>
      <c r="K51" s="87"/>
      <c r="L51" s="207"/>
      <c r="M51" s="87"/>
      <c r="N51" s="87"/>
      <c r="O51" s="87"/>
      <c r="P51" s="87"/>
      <c r="Q51" s="209"/>
      <c r="R51" s="87"/>
      <c r="S51" s="207"/>
      <c r="T51" s="208"/>
      <c r="U51" s="87"/>
      <c r="V51" s="87"/>
      <c r="W51" s="87"/>
      <c r="X51" s="87"/>
      <c r="Y51" s="87"/>
      <c r="Z51" s="87"/>
      <c r="AA51" s="210"/>
      <c r="AB51" s="208"/>
      <c r="AC51" s="207"/>
      <c r="AD51" s="87"/>
      <c r="AE51" s="87"/>
      <c r="AF51" s="87"/>
      <c r="AG51" s="87"/>
      <c r="AH51" s="207"/>
      <c r="AI51" s="87"/>
      <c r="AJ51" s="87"/>
      <c r="AK51" s="87"/>
      <c r="AL51" s="87"/>
      <c r="AM51" s="87"/>
    </row>
    <row r="52" ht="12.75" customHeight="1">
      <c r="A52" s="87"/>
      <c r="B52" s="87"/>
      <c r="C52" s="87"/>
      <c r="D52" s="87"/>
      <c r="E52" s="87"/>
      <c r="F52" s="87"/>
      <c r="G52" s="87"/>
      <c r="H52" s="87"/>
      <c r="I52" s="207"/>
      <c r="J52" s="87"/>
      <c r="K52" s="87"/>
      <c r="L52" s="207"/>
      <c r="M52" s="87"/>
      <c r="N52" s="87"/>
      <c r="O52" s="87"/>
      <c r="P52" s="87"/>
      <c r="Q52" s="87"/>
      <c r="R52" s="87"/>
      <c r="S52" s="207"/>
      <c r="T52" s="87"/>
      <c r="U52" s="87"/>
      <c r="V52" s="87"/>
      <c r="W52" s="87"/>
      <c r="X52" s="87"/>
      <c r="Y52" s="87"/>
      <c r="Z52" s="87"/>
      <c r="AA52" s="210"/>
      <c r="AB52" s="209"/>
      <c r="AC52" s="207"/>
      <c r="AD52" s="87"/>
      <c r="AE52" s="87"/>
      <c r="AF52" s="87"/>
      <c r="AG52" s="87"/>
      <c r="AH52" s="207"/>
      <c r="AI52" s="87"/>
      <c r="AJ52" s="87"/>
      <c r="AK52" s="87"/>
      <c r="AL52" s="87"/>
      <c r="AM52" s="87"/>
    </row>
    <row r="53" ht="12.75" customHeight="1">
      <c r="A53" s="87"/>
      <c r="B53" s="87"/>
      <c r="C53" s="87"/>
      <c r="D53" s="87"/>
      <c r="E53" s="87"/>
      <c r="F53" s="87"/>
      <c r="G53" s="87"/>
      <c r="H53" s="87"/>
      <c r="I53" s="207"/>
      <c r="J53" s="87"/>
      <c r="K53" s="87"/>
      <c r="L53" s="207"/>
      <c r="M53" s="87"/>
      <c r="N53" s="87"/>
      <c r="O53" s="87"/>
      <c r="P53" s="87"/>
      <c r="Q53" s="87"/>
      <c r="R53" s="87"/>
      <c r="S53" s="207"/>
      <c r="T53" s="87"/>
      <c r="U53" s="87"/>
      <c r="V53" s="87"/>
      <c r="W53" s="87"/>
      <c r="X53" s="87"/>
      <c r="Y53" s="87"/>
      <c r="Z53" s="87"/>
      <c r="AA53" s="211"/>
      <c r="AB53" s="209"/>
      <c r="AC53" s="213"/>
      <c r="AD53" s="87"/>
      <c r="AE53" s="87"/>
      <c r="AF53" s="87"/>
      <c r="AG53" s="87"/>
      <c r="AH53" s="207"/>
      <c r="AI53" s="87"/>
      <c r="AJ53" s="87"/>
      <c r="AK53" s="87"/>
      <c r="AL53" s="87"/>
      <c r="AM53" s="87"/>
    </row>
    <row r="54" ht="12.75" customHeight="1">
      <c r="A54" s="87"/>
      <c r="B54" s="87"/>
      <c r="C54" s="87"/>
      <c r="D54" s="87"/>
      <c r="E54" s="87"/>
      <c r="F54" s="87"/>
      <c r="G54" s="87"/>
      <c r="H54" s="87"/>
      <c r="I54" s="207"/>
      <c r="J54" s="87"/>
      <c r="K54" s="87"/>
      <c r="L54" s="87"/>
      <c r="M54" s="87"/>
      <c r="N54" s="87"/>
      <c r="O54" s="87"/>
      <c r="P54" s="87"/>
      <c r="Q54" s="87"/>
      <c r="R54" s="87"/>
      <c r="S54" s="207"/>
      <c r="T54" s="87"/>
      <c r="U54" s="87"/>
      <c r="V54" s="87"/>
      <c r="W54" s="87"/>
      <c r="X54" s="87"/>
      <c r="Y54" s="87"/>
      <c r="Z54" s="87"/>
      <c r="AA54" s="87"/>
      <c r="AB54" s="208"/>
      <c r="AC54" s="87"/>
      <c r="AD54" s="87"/>
      <c r="AE54" s="87"/>
      <c r="AF54" s="87"/>
      <c r="AG54" s="87"/>
      <c r="AH54" s="207"/>
      <c r="AI54" s="87"/>
      <c r="AJ54" s="87"/>
      <c r="AK54" s="87"/>
      <c r="AL54" s="87"/>
      <c r="AM54" s="87"/>
    </row>
    <row r="55" ht="12.75" customHeight="1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207"/>
      <c r="T55" s="87"/>
      <c r="U55" s="87"/>
      <c r="V55" s="87"/>
      <c r="W55" s="87"/>
      <c r="X55" s="87"/>
      <c r="Y55" s="87"/>
      <c r="Z55" s="87"/>
      <c r="AA55" s="87"/>
      <c r="AB55" s="209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</row>
    <row r="56" ht="12.75" customHeight="1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20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</row>
    <row r="57" ht="12.75" customHeigh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20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</row>
    <row r="58" ht="12.75" customHeight="1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20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</row>
    <row r="59" ht="12.75" customHeight="1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20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</row>
    <row r="60" ht="12.75" customHeight="1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20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</row>
    <row r="61" ht="12.75" customHeight="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20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</row>
    <row r="62" ht="12.75" customHeight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20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</row>
    <row r="63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20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</row>
    <row r="64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20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</row>
    <row r="65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20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</row>
    <row r="66" ht="12.75" customHeight="1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20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</row>
    <row r="67" ht="12.75" customHeight="1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</row>
    <row r="68" ht="12.75" customHeight="1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</row>
    <row r="69" ht="12.75" customHeight="1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</row>
    <row r="70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</row>
    <row r="71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</row>
    <row r="72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</row>
    <row r="73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</row>
    <row r="74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</row>
    <row r="75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</row>
    <row r="76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</row>
    <row r="77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</row>
    <row r="78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</row>
    <row r="7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</row>
    <row r="80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</row>
    <row r="81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</row>
    <row r="82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</row>
    <row r="83" ht="12.75" customHeight="1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</row>
    <row r="84" ht="12.75" customHeight="1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</row>
    <row r="85" ht="12.75" customHeight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</row>
    <row r="86" ht="12.75" customHeight="1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</row>
    <row r="87" ht="12.75" customHeight="1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</row>
    <row r="88" ht="12.75" customHeight="1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</row>
    <row r="89" ht="12.75" customHeigh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</row>
    <row r="90" ht="12.75" customHeight="1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</row>
    <row r="91" ht="12.75" customHeight="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</row>
    <row r="92" ht="12.75" customHeight="1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</row>
    <row r="93" ht="12.75" customHeight="1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</row>
    <row r="94" ht="12.75" customHeight="1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</row>
    <row r="95" ht="12.75" customHeight="1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</row>
    <row r="96" ht="12.75" customHeight="1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</row>
    <row r="97" ht="12.75" customHeight="1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</row>
    <row r="98" ht="12.75" customHeight="1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</row>
    <row r="99" ht="12.75" customHeight="1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</row>
    <row r="100" ht="12.75" customHeight="1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</row>
    <row r="101" ht="12.75" customHeight="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</row>
    <row r="102" ht="12.75" customHeight="1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</row>
    <row r="103" ht="12.75" customHeight="1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</row>
    <row r="104" ht="12.75" customHeight="1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</row>
    <row r="105" ht="12.75" customHeight="1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</row>
    <row r="106" ht="12.75" customHeight="1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</row>
    <row r="107" ht="12.75" customHeight="1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</row>
    <row r="108" ht="12.75" customHeight="1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</row>
    <row r="109" ht="12.75" customHeight="1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</row>
    <row r="110" ht="12.75" customHeight="1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</row>
    <row r="111" ht="12.75" customHeight="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</row>
    <row r="112" ht="12.75" customHeight="1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</row>
    <row r="113" ht="12.75" customHeight="1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</row>
    <row r="114" ht="12.75" customHeight="1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</row>
    <row r="115" ht="12.75" customHeight="1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</row>
    <row r="116" ht="12.75" customHeight="1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</row>
    <row r="117" ht="12.75" customHeight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</row>
    <row r="118" ht="12.75" customHeight="1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</row>
    <row r="119" ht="12.75" customHeight="1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</row>
    <row r="120" ht="12.75" customHeight="1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</row>
    <row r="121" ht="12.75" customHeigh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</row>
    <row r="122" ht="12.75" customHeight="1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</row>
    <row r="123" ht="12.75" customHeight="1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</row>
    <row r="124" ht="12.75" customHeight="1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</row>
    <row r="125" ht="12.75" customHeight="1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</row>
    <row r="126" ht="12.75" customHeight="1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</row>
    <row r="127" ht="12.75" customHeight="1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</row>
    <row r="128" ht="12.75" customHeight="1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</row>
    <row r="129" ht="12.75" customHeight="1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</row>
    <row r="130" ht="12.75" customHeight="1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</row>
    <row r="131" ht="12.75" customHeight="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</row>
    <row r="132" ht="12.75" customHeight="1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</row>
    <row r="133" ht="12.75" customHeight="1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</row>
    <row r="134" ht="12.75" customHeight="1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</row>
    <row r="135" ht="12.75" customHeight="1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</row>
    <row r="136" ht="12.75" customHeight="1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</row>
    <row r="137" ht="12.75" customHeight="1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</row>
    <row r="138" ht="12.75" customHeight="1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</row>
    <row r="139" ht="12.75" customHeight="1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</row>
    <row r="140" ht="12.75" customHeight="1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</row>
    <row r="141" ht="12.75" customHeight="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</row>
    <row r="142" ht="12.75" customHeight="1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</row>
    <row r="143" ht="12.75" customHeight="1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</row>
    <row r="144" ht="12.75" customHeight="1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</row>
    <row r="145" ht="12.75" customHeight="1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</row>
    <row r="146" ht="12.75" customHeight="1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</row>
    <row r="147" ht="12.75" customHeight="1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</row>
    <row r="148" ht="12.75" customHeight="1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</row>
    <row r="149" ht="12.75" customHeight="1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</row>
    <row r="150" ht="12.75" customHeight="1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</row>
    <row r="151" ht="12.75" customHeight="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</row>
    <row r="152" ht="12.75" customHeight="1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</row>
    <row r="153" ht="12.75" customHeight="1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</row>
    <row r="154" ht="12.75" customHeight="1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</row>
    <row r="155" ht="12.75" customHeight="1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</row>
    <row r="156" ht="12.75" customHeight="1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</row>
    <row r="157" ht="12.75" customHeight="1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</row>
    <row r="158" ht="12.75" customHeight="1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</row>
    <row r="159" ht="12.75" customHeight="1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</row>
    <row r="160" ht="12.75" customHeight="1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</row>
    <row r="161" ht="12.75" customHeight="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</row>
    <row r="162" ht="12.75" customHeight="1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</row>
    <row r="163" ht="12.75" customHeight="1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</row>
    <row r="164" ht="12.75" customHeight="1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</row>
    <row r="165" ht="12.75" customHeight="1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</row>
    <row r="166" ht="12.75" customHeight="1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</row>
    <row r="167" ht="12.75" customHeight="1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</row>
    <row r="168" ht="12.75" customHeight="1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</row>
    <row r="169" ht="12.75" customHeight="1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</row>
    <row r="170" ht="12.75" customHeight="1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</row>
    <row r="171" ht="12.75" customHeight="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</row>
    <row r="172" ht="12.75" customHeight="1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</row>
    <row r="173" ht="12.75" customHeight="1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</row>
    <row r="174" ht="12.75" customHeight="1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</row>
    <row r="175" ht="12.75" customHeight="1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</row>
    <row r="176" ht="12.75" customHeight="1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</row>
    <row r="177" ht="12.75" customHeight="1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</row>
    <row r="178" ht="12.75" customHeight="1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</row>
    <row r="179" ht="12.75" customHeight="1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</row>
    <row r="180" ht="12.75" customHeight="1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</row>
    <row r="181" ht="12.75" customHeight="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</row>
    <row r="182" ht="12.75" customHeight="1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</row>
    <row r="183" ht="12.75" customHeight="1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</row>
    <row r="184" ht="12.75" customHeight="1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</row>
    <row r="185" ht="12.75" customHeight="1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</row>
    <row r="186" ht="12.75" customHeight="1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</row>
    <row r="187" ht="12.75" customHeight="1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</row>
    <row r="188" ht="12.75" customHeight="1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</row>
    <row r="189" ht="12.75" customHeight="1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</row>
    <row r="190" ht="12.75" customHeight="1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</row>
    <row r="191" ht="12.75" customHeight="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</row>
    <row r="192" ht="12.75" customHeight="1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</row>
    <row r="193" ht="12.75" customHeight="1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</row>
    <row r="194" ht="12.75" customHeight="1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</row>
    <row r="195" ht="12.75" customHeight="1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</row>
    <row r="196" ht="12.75" customHeight="1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</row>
    <row r="197" ht="12.75" customHeight="1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</row>
    <row r="198" ht="12.75" customHeight="1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</row>
    <row r="199" ht="12.75" customHeight="1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</row>
    <row r="200" ht="12.75" customHeight="1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</row>
    <row r="201" ht="12.75" customHeight="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</row>
    <row r="202" ht="12.75" customHeight="1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</row>
    <row r="203" ht="12.75" customHeight="1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</row>
    <row r="204" ht="12.75" customHeight="1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</row>
    <row r="205" ht="12.75" customHeight="1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</row>
    <row r="206" ht="12.75" customHeight="1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</row>
    <row r="207" ht="12.75" customHeight="1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</row>
    <row r="208" ht="12.75" customHeight="1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</row>
    <row r="209" ht="12.75" customHeight="1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</row>
    <row r="210" ht="12.75" customHeight="1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</row>
    <row r="211" ht="12.75" customHeight="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</row>
    <row r="212" ht="12.75" customHeight="1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</row>
    <row r="213" ht="12.75" customHeight="1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</row>
    <row r="214" ht="12.75" customHeight="1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</row>
    <row r="215" ht="12.75" customHeight="1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</row>
    <row r="216" ht="12.75" customHeight="1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</row>
    <row r="217" ht="12.75" customHeight="1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</row>
    <row r="218" ht="12.75" customHeight="1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</row>
    <row r="219" ht="12.75" customHeight="1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</row>
    <row r="220" ht="12.75" customHeight="1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</row>
    <row r="221" ht="12.75" customHeight="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</row>
    <row r="222" ht="12.75" customHeight="1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</row>
    <row r="223" ht="12.75" customHeight="1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</row>
    <row r="224" ht="12.75" customHeight="1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</row>
    <row r="225" ht="12.75" customHeight="1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</row>
    <row r="226" ht="12.75" customHeight="1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</row>
    <row r="227" ht="12.75" customHeight="1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</row>
    <row r="228" ht="12.75" customHeight="1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</row>
    <row r="229" ht="12.75" customHeight="1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</row>
    <row r="230" ht="12.75" customHeight="1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</row>
    <row r="231" ht="12.75" customHeight="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</row>
    <row r="232" ht="12.75" customHeight="1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</row>
    <row r="233" ht="12.75" customHeight="1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</row>
    <row r="234" ht="12.75" customHeight="1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</row>
    <row r="235" ht="12.75" customHeight="1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</row>
    <row r="236" ht="12.75" customHeight="1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</row>
    <row r="237" ht="12.75" customHeight="1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</row>
    <row r="238" ht="12.75" customHeight="1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</row>
    <row r="239" ht="12.75" customHeight="1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</row>
    <row r="240" ht="12.75" customHeight="1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</row>
    <row r="241" ht="12.75" customHeight="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</row>
    <row r="242" ht="12.75" customHeight="1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</row>
    <row r="243" ht="12.75" customHeight="1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</row>
    <row r="244" ht="12.75" customHeight="1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</row>
    <row r="245" ht="12.75" customHeight="1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</row>
    <row r="246" ht="12.75" customHeight="1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</row>
    <row r="247" ht="12.75" customHeight="1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</row>
    <row r="248" ht="12.75" customHeight="1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</row>
    <row r="249" ht="12.75" customHeight="1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</row>
    <row r="250" ht="12.75" customHeight="1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</row>
    <row r="251" ht="12.75" customHeight="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</row>
    <row r="252" ht="12.75" customHeight="1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</row>
    <row r="253" ht="12.75" customHeight="1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</row>
    <row r="254" ht="12.75" customHeight="1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</row>
    <row r="255" ht="12.75" customHeight="1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</row>
    <row r="256" ht="12.75" customHeight="1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</row>
    <row r="257" ht="12.75" customHeight="1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</row>
    <row r="258" ht="12.75" customHeight="1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</row>
    <row r="259" ht="12.75" customHeight="1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</row>
    <row r="260" ht="12.75" customHeight="1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</row>
    <row r="261" ht="12.75" customHeight="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</row>
    <row r="262" ht="12.75" customHeight="1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</row>
    <row r="263" ht="12.75" customHeight="1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</row>
    <row r="264" ht="12.75" customHeight="1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</row>
    <row r="265" ht="12.75" customHeight="1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</row>
    <row r="266" ht="12.75" customHeight="1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</row>
    <row r="267" ht="12.75" customHeight="1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</row>
    <row r="268" ht="12.75" customHeight="1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</row>
    <row r="269" ht="12.75" customHeight="1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</row>
    <row r="270" ht="12.75" customHeight="1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</row>
    <row r="271" ht="12.75" customHeight="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</row>
    <row r="272" ht="12.75" customHeight="1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</row>
    <row r="273" ht="12.75" customHeight="1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</row>
    <row r="274" ht="12.75" customHeight="1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</row>
    <row r="275" ht="12.75" customHeight="1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</row>
    <row r="276" ht="12.75" customHeight="1">
      <c r="A276" s="87" t="s">
        <v>26</v>
      </c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</row>
    <row r="277" ht="12.75" customHeight="1">
      <c r="A277" s="87" t="s">
        <v>27</v>
      </c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</row>
    <row r="278" ht="12.75" customHeight="1">
      <c r="A278" s="87" t="s">
        <v>28</v>
      </c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</row>
    <row r="279" ht="12.75" customHeight="1">
      <c r="A279" s="87" t="s">
        <v>29</v>
      </c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</row>
    <row r="280" ht="12.75" customHeight="1">
      <c r="A280" s="87" t="s">
        <v>30</v>
      </c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</row>
    <row r="281" ht="12.75" customHeight="1">
      <c r="A281" s="87" t="s">
        <v>31</v>
      </c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</row>
    <row r="282" ht="12.75" customHeight="1">
      <c r="A282" s="87" t="s">
        <v>32</v>
      </c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</row>
    <row r="283" ht="12.75" customHeight="1">
      <c r="A283" s="87" t="s">
        <v>33</v>
      </c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</row>
    <row r="284" ht="12.75" customHeight="1">
      <c r="A284" s="87" t="s">
        <v>34</v>
      </c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</row>
    <row r="285" ht="12.75" customHeight="1">
      <c r="A285" s="87" t="s">
        <v>35</v>
      </c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</row>
    <row r="286" ht="12.75" customHeight="1">
      <c r="A286" s="87" t="s">
        <v>36</v>
      </c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</row>
    <row r="287" ht="12.75" customHeight="1">
      <c r="A287" s="87" t="s">
        <v>37</v>
      </c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</row>
    <row r="288" ht="12.75" customHeight="1">
      <c r="A288" s="87">
        <v>1.0</v>
      </c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</row>
    <row r="289" ht="12.75" customHeight="1">
      <c r="A289" s="87">
        <v>2.0</v>
      </c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</row>
    <row r="290" ht="12.75" customHeight="1">
      <c r="A290" s="87">
        <v>3.0</v>
      </c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</row>
    <row r="291" ht="12.75" customHeight="1">
      <c r="A291" s="87">
        <v>4.0</v>
      </c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</row>
    <row r="292" ht="12.75" customHeight="1">
      <c r="A292" s="87">
        <v>5.0</v>
      </c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</row>
    <row r="293" ht="12.75" customHeight="1">
      <c r="A293" s="87">
        <v>6.0</v>
      </c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</row>
    <row r="294" ht="12.75" customHeight="1">
      <c r="A294" s="87">
        <v>7.0</v>
      </c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</row>
    <row r="295" ht="12.75" customHeight="1">
      <c r="A295" s="87">
        <v>8.0</v>
      </c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</row>
    <row r="296" ht="12.75" customHeight="1">
      <c r="A296" s="87">
        <v>9.0</v>
      </c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</row>
    <row r="297" ht="12.75" customHeight="1">
      <c r="A297" s="87">
        <v>10.0</v>
      </c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</row>
    <row r="298" ht="12.75" customHeight="1">
      <c r="A298" s="87">
        <v>11.0</v>
      </c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</row>
    <row r="299" ht="12.75" customHeight="1">
      <c r="A299" s="87">
        <v>12.0</v>
      </c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</row>
    <row r="300" ht="12.75" customHeight="1">
      <c r="A300" s="87">
        <v>13.0</v>
      </c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</row>
    <row r="301" ht="12.75" customHeight="1">
      <c r="A301" s="87">
        <v>14.0</v>
      </c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</row>
    <row r="302" ht="12.75" customHeight="1">
      <c r="A302" s="87">
        <v>15.0</v>
      </c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</row>
    <row r="303" ht="12.75" customHeight="1">
      <c r="A303" s="87">
        <v>16.0</v>
      </c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</row>
    <row r="304" ht="12.75" customHeight="1">
      <c r="A304" s="87">
        <v>17.0</v>
      </c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</row>
    <row r="305" ht="12.75" customHeight="1">
      <c r="A305" s="87">
        <v>18.0</v>
      </c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</row>
    <row r="306" ht="12.75" customHeight="1">
      <c r="A306" s="87">
        <v>19.0</v>
      </c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</row>
    <row r="307" ht="12.75" customHeight="1">
      <c r="A307" s="87">
        <v>20.0</v>
      </c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</row>
    <row r="308" ht="12.75" customHeight="1">
      <c r="A308" s="87">
        <v>21.0</v>
      </c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</row>
    <row r="309" ht="12.75" customHeight="1">
      <c r="A309" s="87">
        <v>22.0</v>
      </c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</row>
    <row r="310" ht="12.75" customHeight="1">
      <c r="A310" s="87">
        <v>23.0</v>
      </c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</row>
    <row r="311" ht="12.75" customHeight="1">
      <c r="A311" s="87">
        <v>24.0</v>
      </c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</row>
    <row r="312" ht="12.75" customHeight="1">
      <c r="A312" s="87">
        <v>25.0</v>
      </c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</row>
    <row r="313" ht="12.75" customHeight="1">
      <c r="A313" s="87">
        <v>26.0</v>
      </c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</row>
    <row r="314" ht="12.75" customHeight="1">
      <c r="A314" s="87">
        <v>27.0</v>
      </c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</row>
    <row r="315" ht="12.75" customHeight="1">
      <c r="A315" s="87">
        <v>28.0</v>
      </c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</row>
    <row r="316" ht="12.75" customHeight="1">
      <c r="A316" s="87">
        <v>29.0</v>
      </c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</row>
    <row r="317" ht="12.75" customHeight="1">
      <c r="A317" s="87">
        <v>30.0</v>
      </c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</row>
    <row r="318" ht="12.75" customHeight="1">
      <c r="A318" s="87">
        <v>31.0</v>
      </c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</row>
    <row r="319" ht="12.75" customHeight="1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</row>
    <row r="320" ht="12.75" customHeight="1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</row>
    <row r="321" ht="12.75" customHeight="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</row>
    <row r="322" ht="12.75" customHeight="1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</row>
    <row r="323" ht="12.75" customHeight="1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</row>
    <row r="324" ht="12.75" customHeight="1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</row>
    <row r="325" ht="12.75" customHeight="1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</row>
    <row r="326" ht="12.75" customHeight="1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</row>
    <row r="327" ht="12.75" customHeight="1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</row>
    <row r="328" ht="12.75" customHeight="1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</row>
    <row r="329" ht="12.75" customHeight="1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</row>
    <row r="330" ht="12.75" customHeight="1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</row>
    <row r="331" ht="12.75" customHeight="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</row>
    <row r="332" ht="12.75" customHeight="1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</row>
    <row r="333" ht="12.75" customHeight="1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</row>
    <row r="334" ht="12.75" customHeight="1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</row>
    <row r="335" ht="12.75" customHeight="1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</row>
    <row r="336" ht="12.75" customHeight="1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</row>
    <row r="337" ht="12.75" customHeight="1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</row>
    <row r="338" ht="12.75" customHeight="1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</row>
    <row r="339" ht="12.75" customHeight="1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</row>
    <row r="340" ht="12.75" customHeight="1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</row>
    <row r="341" ht="12.75" customHeight="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</row>
    <row r="342" ht="12.75" customHeight="1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</row>
    <row r="343" ht="12.75" customHeight="1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</row>
    <row r="344" ht="12.75" customHeight="1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</row>
    <row r="345" ht="12.75" customHeight="1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</row>
    <row r="346" ht="12.75" customHeight="1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</row>
    <row r="347" ht="12.75" customHeight="1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</row>
    <row r="348" ht="12.75" customHeight="1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</row>
    <row r="349" ht="12.75" customHeight="1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</row>
    <row r="350" ht="12.75" customHeight="1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</row>
    <row r="351" ht="12.75" customHeight="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</row>
    <row r="352" ht="12.75" customHeight="1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</row>
    <row r="353" ht="12.75" customHeight="1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</row>
    <row r="354" ht="12.75" customHeight="1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</row>
    <row r="355" ht="12.75" customHeight="1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</row>
    <row r="356" ht="12.75" customHeight="1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</row>
    <row r="357" ht="12.75" customHeight="1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</row>
    <row r="358" ht="12.75" customHeight="1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</row>
    <row r="359" ht="12.75" customHeight="1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</row>
    <row r="360" ht="12.75" customHeight="1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</row>
    <row r="361" ht="12.75" customHeight="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</row>
    <row r="362" ht="12.75" customHeight="1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</row>
    <row r="363" ht="12.75" customHeight="1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</row>
    <row r="364" ht="12.75" customHeight="1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</row>
    <row r="365" ht="12.75" customHeight="1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</row>
    <row r="366" ht="12.75" customHeight="1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</row>
    <row r="367" ht="12.75" customHeight="1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</row>
    <row r="368" ht="12.75" customHeight="1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</row>
    <row r="369" ht="12.75" customHeight="1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</row>
    <row r="370" ht="12.75" customHeight="1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</row>
    <row r="371" ht="12.75" customHeight="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</row>
    <row r="372" ht="12.75" customHeight="1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</row>
    <row r="373" ht="12.75" customHeight="1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</row>
    <row r="374" ht="12.75" customHeight="1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</row>
    <row r="375" ht="12.75" customHeight="1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</row>
    <row r="376" ht="12.75" customHeight="1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</row>
    <row r="377" ht="12.75" customHeight="1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</row>
    <row r="378" ht="12.75" customHeight="1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</row>
    <row r="379" ht="12.75" customHeight="1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</row>
    <row r="380" ht="12.75" customHeight="1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</row>
    <row r="381" ht="12.75" customHeight="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</row>
    <row r="382" ht="12.75" customHeight="1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</row>
    <row r="383" ht="12.75" customHeight="1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</row>
    <row r="384" ht="12.75" customHeight="1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</row>
    <row r="385" ht="12.75" customHeight="1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</row>
    <row r="386" ht="12.75" customHeight="1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</row>
    <row r="387" ht="12.75" customHeight="1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</row>
    <row r="388" ht="12.75" customHeight="1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</row>
    <row r="389" ht="12.75" customHeight="1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</row>
    <row r="390" ht="12.75" customHeight="1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</row>
    <row r="391" ht="12.75" customHeight="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</row>
    <row r="392" ht="12.75" customHeight="1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</row>
    <row r="393" ht="12.75" customHeight="1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</row>
    <row r="394" ht="12.75" customHeight="1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</row>
    <row r="395" ht="12.75" customHeight="1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</row>
    <row r="396" ht="12.75" customHeight="1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</row>
    <row r="397" ht="12.75" customHeight="1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</row>
    <row r="398" ht="12.75" customHeight="1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</row>
    <row r="399" ht="12.75" customHeight="1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</row>
    <row r="400" ht="12.75" customHeight="1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</row>
    <row r="401" ht="12.75" customHeight="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</row>
    <row r="402" ht="12.75" customHeight="1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</row>
    <row r="403" ht="12.75" customHeight="1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</row>
    <row r="404" ht="12.75" customHeight="1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</row>
    <row r="405" ht="12.75" customHeight="1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</row>
    <row r="406" ht="12.75" customHeight="1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</row>
    <row r="407" ht="12.75" customHeight="1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</row>
    <row r="408" ht="12.75" customHeight="1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</row>
    <row r="409" ht="12.75" customHeight="1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</row>
    <row r="410" ht="12.75" customHeight="1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</row>
    <row r="411" ht="12.75" customHeight="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</row>
    <row r="412" ht="12.75" customHeight="1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</row>
    <row r="413" ht="12.75" customHeight="1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</row>
    <row r="414" ht="12.75" customHeight="1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</row>
    <row r="415" ht="12.75" customHeight="1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</row>
    <row r="416" ht="12.75" customHeight="1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</row>
    <row r="417" ht="12.75" customHeight="1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</row>
    <row r="418" ht="12.75" customHeight="1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</row>
    <row r="419" ht="12.75" customHeight="1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</row>
    <row r="420" ht="12.75" customHeight="1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</row>
    <row r="421" ht="12.75" customHeight="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</row>
    <row r="422" ht="12.75" customHeight="1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</row>
    <row r="423" ht="12.75" customHeight="1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</row>
    <row r="424" ht="12.75" customHeight="1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</row>
    <row r="425" ht="12.75" customHeight="1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</row>
    <row r="426" ht="12.75" customHeight="1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</row>
    <row r="427" ht="12.75" customHeight="1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</row>
    <row r="428" ht="12.75" customHeight="1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</row>
    <row r="429" ht="12.75" customHeight="1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</row>
    <row r="430" ht="12.75" customHeight="1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</row>
    <row r="431" ht="12.75" customHeight="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</row>
    <row r="432" ht="12.75" customHeight="1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</row>
    <row r="433" ht="12.75" customHeight="1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</row>
    <row r="434" ht="12.75" customHeight="1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</row>
    <row r="435" ht="12.75" customHeight="1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</row>
    <row r="436" ht="12.75" customHeight="1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</row>
    <row r="437" ht="12.75" customHeight="1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</row>
    <row r="438" ht="12.75" customHeight="1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</row>
    <row r="439" ht="12.75" customHeight="1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</row>
    <row r="440" ht="12.75" customHeight="1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</row>
    <row r="441" ht="12.75" customHeight="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</row>
    <row r="442" ht="12.75" customHeight="1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</row>
    <row r="443" ht="12.75" customHeight="1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</row>
    <row r="444" ht="12.75" customHeight="1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</row>
    <row r="445" ht="12.75" customHeight="1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</row>
    <row r="446" ht="12.75" customHeight="1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</row>
    <row r="447" ht="12.75" customHeight="1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</row>
    <row r="448" ht="12.75" customHeight="1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</row>
    <row r="449" ht="12.75" customHeight="1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</row>
    <row r="450" ht="12.75" customHeight="1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</row>
    <row r="451" ht="12.75" customHeight="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</row>
    <row r="452" ht="12.75" customHeight="1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</row>
    <row r="453" ht="12.75" customHeight="1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</row>
    <row r="454" ht="12.75" customHeight="1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</row>
    <row r="455" ht="12.75" customHeight="1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</row>
    <row r="456" ht="12.75" customHeight="1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</row>
    <row r="457" ht="12.75" customHeight="1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</row>
    <row r="458" ht="12.75" customHeight="1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</row>
    <row r="459" ht="12.75" customHeight="1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</row>
    <row r="460" ht="12.75" customHeight="1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</row>
    <row r="461" ht="12.75" customHeight="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</row>
    <row r="462" ht="12.75" customHeight="1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</row>
    <row r="463" ht="12.75" customHeight="1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</row>
    <row r="464" ht="12.75" customHeight="1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</row>
    <row r="465" ht="12.75" customHeight="1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</row>
    <row r="466" ht="12.75" customHeight="1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</row>
    <row r="467" ht="12.75" customHeight="1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</row>
    <row r="468" ht="12.75" customHeight="1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</row>
    <row r="469" ht="12.75" customHeight="1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</row>
    <row r="470" ht="12.75" customHeight="1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</row>
    <row r="471" ht="12.75" customHeight="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</row>
    <row r="472" ht="12.75" customHeight="1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</row>
    <row r="473" ht="12.75" customHeight="1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</row>
    <row r="474" ht="12.75" customHeight="1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</row>
    <row r="475" ht="12.75" customHeight="1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</row>
    <row r="476" ht="12.75" customHeight="1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</row>
    <row r="477" ht="12.75" customHeight="1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</row>
    <row r="478" ht="12.75" customHeight="1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</row>
    <row r="479" ht="12.75" customHeight="1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</row>
    <row r="480" ht="12.75" customHeight="1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</row>
    <row r="481" ht="12.75" customHeight="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</row>
    <row r="482" ht="12.75" customHeight="1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</row>
    <row r="483" ht="12.75" customHeight="1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</row>
    <row r="484" ht="12.75" customHeight="1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</row>
    <row r="485" ht="12.75" customHeight="1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</row>
    <row r="486" ht="12.75" customHeight="1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</row>
    <row r="487" ht="12.75" customHeight="1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</row>
    <row r="488" ht="12.75" customHeight="1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</row>
    <row r="489" ht="12.75" customHeight="1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</row>
    <row r="490" ht="12.75" customHeight="1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</row>
    <row r="491" ht="12.75" customHeight="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</row>
    <row r="492" ht="12.75" customHeight="1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</row>
    <row r="493" ht="12.75" customHeight="1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</row>
    <row r="494" ht="12.75" customHeight="1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</row>
    <row r="495" ht="12.75" customHeight="1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</row>
    <row r="496" ht="12.75" customHeight="1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</row>
    <row r="497" ht="12.75" customHeight="1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</row>
    <row r="498" ht="12.75" customHeight="1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</row>
    <row r="499" ht="12.75" customHeight="1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</row>
    <row r="500" ht="12.75" customHeight="1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</row>
    <row r="501" ht="12.75" customHeight="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</row>
    <row r="502" ht="12.75" customHeight="1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</row>
    <row r="503" ht="12.75" customHeight="1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</row>
    <row r="504" ht="12.75" customHeight="1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</row>
    <row r="505" ht="12.75" customHeight="1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</row>
    <row r="506" ht="12.75" customHeight="1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</row>
    <row r="507" ht="12.75" customHeight="1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</row>
    <row r="508" ht="12.75" customHeight="1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</row>
    <row r="509" ht="12.75" customHeight="1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</row>
    <row r="510" ht="12.75" customHeight="1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</row>
    <row r="511" ht="12.75" customHeight="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</row>
    <row r="512" ht="12.75" customHeight="1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</row>
    <row r="513" ht="12.75" customHeight="1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</row>
    <row r="514" ht="12.75" customHeight="1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</row>
    <row r="515" ht="12.75" customHeight="1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</row>
    <row r="516" ht="12.75" customHeight="1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</row>
    <row r="517" ht="12.75" customHeight="1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</row>
    <row r="518" ht="12.75" customHeight="1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</row>
    <row r="519" ht="12.75" customHeight="1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</row>
    <row r="520" ht="12.75" customHeight="1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</row>
    <row r="521" ht="12.75" customHeight="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</row>
    <row r="522" ht="12.75" customHeight="1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</row>
    <row r="523" ht="12.75" customHeight="1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</row>
    <row r="524" ht="12.75" customHeight="1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</row>
    <row r="525" ht="12.75" customHeight="1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</row>
    <row r="526" ht="12.75" customHeight="1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</row>
    <row r="527" ht="12.75" customHeight="1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</row>
    <row r="528" ht="12.75" customHeight="1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</row>
    <row r="529" ht="12.75" customHeight="1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</row>
    <row r="530" ht="12.75" customHeight="1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</row>
    <row r="531" ht="12.75" customHeight="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</row>
    <row r="532" ht="12.75" customHeight="1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</row>
    <row r="533" ht="12.75" customHeight="1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</row>
    <row r="534" ht="12.75" customHeight="1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</row>
    <row r="535" ht="12.75" customHeight="1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</row>
    <row r="536" ht="12.75" customHeight="1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</row>
    <row r="537" ht="12.75" customHeight="1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</row>
    <row r="538" ht="12.75" customHeight="1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</row>
    <row r="539" ht="12.75" customHeight="1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</row>
    <row r="540" ht="12.75" customHeight="1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</row>
    <row r="541" ht="12.75" customHeight="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</row>
    <row r="542" ht="12.75" customHeight="1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</row>
    <row r="543" ht="12.75" customHeight="1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</row>
    <row r="544" ht="12.75" customHeight="1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</row>
    <row r="545" ht="12.75" customHeight="1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</row>
    <row r="546" ht="12.75" customHeight="1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</row>
    <row r="547" ht="12.75" customHeight="1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</row>
    <row r="548" ht="12.75" customHeight="1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</row>
    <row r="549" ht="12.75" customHeight="1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</row>
    <row r="550" ht="12.75" customHeight="1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</row>
    <row r="551" ht="12.75" customHeight="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</row>
    <row r="552" ht="12.75" customHeight="1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</row>
    <row r="553" ht="12.75" customHeight="1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</row>
    <row r="554" ht="12.75" customHeight="1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</row>
    <row r="555" ht="12.75" customHeight="1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</row>
    <row r="556" ht="12.75" customHeight="1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</row>
    <row r="557" ht="12.75" customHeight="1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</row>
    <row r="558" ht="12.75" customHeight="1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</row>
    <row r="559" ht="12.75" customHeight="1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</row>
    <row r="560" ht="12.75" customHeight="1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</row>
    <row r="561" ht="12.75" customHeight="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</row>
    <row r="562" ht="12.75" customHeight="1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</row>
    <row r="563" ht="12.75" customHeight="1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</row>
    <row r="564" ht="12.75" customHeight="1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</row>
    <row r="565" ht="12.75" customHeight="1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</row>
    <row r="566" ht="12.75" customHeight="1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</row>
    <row r="567" ht="12.75" customHeight="1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</row>
    <row r="568" ht="12.75" customHeight="1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</row>
    <row r="569" ht="12.75" customHeight="1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</row>
    <row r="570" ht="12.75" customHeight="1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</row>
    <row r="571" ht="12.75" customHeight="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</row>
    <row r="572" ht="12.75" customHeight="1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</row>
    <row r="573" ht="12.75" customHeight="1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</row>
    <row r="574" ht="12.75" customHeight="1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</row>
    <row r="575" ht="12.75" customHeight="1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</row>
    <row r="576" ht="12.75" customHeight="1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</row>
    <row r="577" ht="12.75" customHeight="1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</row>
    <row r="578" ht="12.75" customHeight="1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</row>
    <row r="579" ht="12.75" customHeight="1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</row>
    <row r="580" ht="12.75" customHeight="1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</row>
    <row r="581" ht="12.75" customHeight="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</row>
    <row r="582" ht="12.75" customHeight="1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</row>
    <row r="583" ht="12.75" customHeight="1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</row>
    <row r="584" ht="12.75" customHeight="1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</row>
    <row r="585" ht="12.75" customHeight="1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</row>
    <row r="586" ht="12.75" customHeight="1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</row>
    <row r="587" ht="12.75" customHeight="1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</row>
    <row r="588" ht="12.75" customHeight="1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</row>
    <row r="589" ht="12.75" customHeight="1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</row>
    <row r="590" ht="12.75" customHeight="1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</row>
    <row r="591" ht="12.75" customHeight="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</row>
    <row r="592" ht="12.75" customHeight="1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</row>
    <row r="593" ht="12.75" customHeight="1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</row>
    <row r="594" ht="12.75" customHeight="1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</row>
    <row r="595" ht="12.75" customHeight="1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</row>
    <row r="596" ht="12.75" customHeight="1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</row>
    <row r="597" ht="12.75" customHeight="1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</row>
    <row r="598" ht="12.75" customHeight="1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</row>
    <row r="599" ht="12.75" customHeight="1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</row>
    <row r="600" ht="12.75" customHeight="1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</row>
    <row r="601" ht="12.75" customHeight="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</row>
    <row r="602" ht="12.75" customHeight="1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</row>
    <row r="603" ht="12.75" customHeight="1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</row>
    <row r="604" ht="12.75" customHeight="1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</row>
    <row r="605" ht="12.75" customHeight="1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</row>
    <row r="606" ht="12.75" customHeight="1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</row>
    <row r="607" ht="12.75" customHeight="1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</row>
    <row r="608" ht="12.75" customHeight="1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</row>
    <row r="609" ht="12.75" customHeight="1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</row>
    <row r="610" ht="12.75" customHeight="1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</row>
    <row r="611" ht="12.75" customHeight="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</row>
    <row r="612" ht="12.75" customHeight="1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</row>
    <row r="613" ht="12.75" customHeight="1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</row>
    <row r="614" ht="12.75" customHeight="1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</row>
    <row r="615" ht="12.75" customHeight="1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</row>
    <row r="616" ht="12.75" customHeight="1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</row>
    <row r="617" ht="12.75" customHeight="1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</row>
    <row r="618" ht="12.75" customHeight="1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</row>
    <row r="619" ht="12.75" customHeight="1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</row>
    <row r="620" ht="12.75" customHeight="1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</row>
    <row r="621" ht="12.75" customHeight="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</row>
    <row r="622" ht="12.75" customHeight="1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</row>
    <row r="623" ht="12.75" customHeight="1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</row>
    <row r="624" ht="12.75" customHeight="1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</row>
    <row r="625" ht="12.75" customHeight="1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</row>
    <row r="626" ht="12.75" customHeight="1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</row>
    <row r="627" ht="12.75" customHeight="1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</row>
    <row r="628" ht="12.75" customHeight="1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</row>
    <row r="629" ht="12.75" customHeight="1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</row>
    <row r="630" ht="12.75" customHeight="1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</row>
    <row r="631" ht="12.75" customHeight="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</row>
    <row r="632" ht="12.75" customHeight="1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</row>
    <row r="633" ht="12.75" customHeight="1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</row>
    <row r="634" ht="12.75" customHeight="1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</row>
    <row r="635" ht="12.75" customHeight="1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</row>
    <row r="636" ht="12.75" customHeight="1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</row>
    <row r="637" ht="12.75" customHeight="1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</row>
    <row r="638" ht="12.75" customHeight="1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</row>
    <row r="639" ht="12.75" customHeight="1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</row>
    <row r="640" ht="12.75" customHeight="1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</row>
    <row r="641" ht="12.75" customHeight="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</row>
    <row r="642" ht="12.75" customHeight="1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</row>
    <row r="643" ht="12.75" customHeight="1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</row>
    <row r="644" ht="12.75" customHeight="1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</row>
    <row r="645" ht="12.75" customHeight="1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</row>
    <row r="646" ht="12.75" customHeight="1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</row>
    <row r="647" ht="12.75" customHeight="1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</row>
    <row r="648" ht="12.75" customHeight="1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</row>
    <row r="649" ht="12.75" customHeight="1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</row>
    <row r="650" ht="12.75" customHeight="1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</row>
    <row r="651" ht="12.75" customHeight="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</row>
    <row r="652" ht="12.75" customHeight="1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</row>
    <row r="653" ht="12.75" customHeight="1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</row>
    <row r="654" ht="12.75" customHeight="1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</row>
    <row r="655" ht="12.75" customHeight="1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</row>
    <row r="656" ht="12.75" customHeight="1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</row>
    <row r="657" ht="12.75" customHeight="1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</row>
    <row r="658" ht="12.75" customHeight="1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</row>
    <row r="659" ht="12.75" customHeight="1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</row>
    <row r="660" ht="12.75" customHeight="1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</row>
    <row r="661" ht="12.75" customHeight="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</row>
    <row r="662" ht="12.75" customHeight="1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</row>
    <row r="663" ht="12.75" customHeight="1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</row>
    <row r="664" ht="12.75" customHeight="1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</row>
    <row r="665" ht="12.75" customHeight="1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</row>
    <row r="666" ht="12.75" customHeight="1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</row>
    <row r="667" ht="12.75" customHeight="1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</row>
    <row r="668" ht="12.75" customHeight="1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</row>
    <row r="669" ht="12.75" customHeight="1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</row>
    <row r="670" ht="12.75" customHeight="1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</row>
    <row r="671" ht="12.75" customHeight="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</row>
    <row r="672" ht="12.75" customHeight="1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</row>
    <row r="673" ht="12.75" customHeight="1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</row>
    <row r="674" ht="12.75" customHeight="1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</row>
    <row r="675" ht="12.75" customHeight="1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</row>
    <row r="676" ht="12.75" customHeight="1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</row>
    <row r="677" ht="12.75" customHeight="1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</row>
    <row r="678" ht="12.75" customHeight="1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</row>
    <row r="679" ht="12.75" customHeight="1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</row>
    <row r="680" ht="12.75" customHeight="1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</row>
    <row r="681" ht="12.75" customHeight="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</row>
    <row r="682" ht="12.75" customHeight="1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</row>
    <row r="683" ht="12.75" customHeight="1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</row>
    <row r="684" ht="12.75" customHeight="1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</row>
    <row r="685" ht="12.75" customHeight="1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</row>
    <row r="686" ht="12.75" customHeight="1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</row>
    <row r="687" ht="12.75" customHeight="1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</row>
    <row r="688" ht="12.75" customHeight="1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</row>
    <row r="689" ht="12.75" customHeight="1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</row>
    <row r="690" ht="12.75" customHeight="1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</row>
    <row r="691" ht="12.75" customHeight="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</row>
    <row r="692" ht="12.75" customHeight="1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</row>
    <row r="693" ht="12.75" customHeight="1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</row>
    <row r="694" ht="12.75" customHeight="1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</row>
    <row r="695" ht="12.75" customHeight="1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</row>
    <row r="696" ht="12.75" customHeight="1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</row>
    <row r="697" ht="12.75" customHeight="1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</row>
    <row r="698" ht="12.75" customHeight="1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</row>
    <row r="699" ht="12.75" customHeight="1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</row>
    <row r="700" ht="12.75" customHeight="1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</row>
    <row r="701" ht="12.75" customHeight="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</row>
    <row r="702" ht="12.75" customHeight="1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</row>
    <row r="703" ht="12.75" customHeight="1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</row>
    <row r="704" ht="12.75" customHeight="1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</row>
    <row r="705" ht="12.75" customHeight="1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</row>
    <row r="706" ht="12.75" customHeight="1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</row>
    <row r="707" ht="12.75" customHeight="1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</row>
    <row r="708" ht="12.75" customHeight="1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</row>
    <row r="709" ht="12.75" customHeight="1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</row>
    <row r="710" ht="12.75" customHeight="1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</row>
    <row r="711" ht="12.75" customHeight="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</row>
    <row r="712" ht="12.75" customHeight="1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</row>
    <row r="713" ht="12.75" customHeight="1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</row>
    <row r="714" ht="12.75" customHeight="1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</row>
    <row r="715" ht="12.75" customHeight="1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</row>
    <row r="716" ht="12.75" customHeight="1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</row>
    <row r="717" ht="12.75" customHeight="1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</row>
    <row r="718" ht="12.75" customHeight="1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</row>
    <row r="719" ht="12.75" customHeight="1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</row>
    <row r="720" ht="12.75" customHeight="1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</row>
    <row r="721" ht="12.75" customHeight="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</row>
    <row r="722" ht="12.75" customHeight="1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</row>
    <row r="723" ht="12.75" customHeight="1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</row>
    <row r="724" ht="12.75" customHeight="1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</row>
    <row r="725" ht="12.75" customHeight="1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</row>
    <row r="726" ht="12.75" customHeight="1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</row>
    <row r="727" ht="12.75" customHeight="1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</row>
    <row r="728" ht="12.75" customHeight="1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</row>
    <row r="729" ht="12.75" customHeight="1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</row>
    <row r="730" ht="12.75" customHeight="1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</row>
    <row r="731" ht="12.75" customHeight="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</row>
    <row r="732" ht="12.75" customHeight="1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</row>
    <row r="733" ht="12.75" customHeight="1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</row>
    <row r="734" ht="12.75" customHeight="1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</row>
    <row r="735" ht="12.75" customHeight="1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</row>
    <row r="736" ht="12.75" customHeight="1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</row>
    <row r="737" ht="12.75" customHeight="1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</row>
    <row r="738" ht="12.75" customHeight="1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</row>
    <row r="739" ht="12.75" customHeight="1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</row>
    <row r="740" ht="12.75" customHeight="1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</row>
    <row r="741" ht="12.75" customHeight="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</row>
    <row r="742" ht="12.75" customHeight="1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</row>
    <row r="743" ht="12.75" customHeight="1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</row>
    <row r="744" ht="12.75" customHeight="1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</row>
    <row r="745" ht="12.75" customHeight="1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</row>
    <row r="746" ht="12.75" customHeight="1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</row>
    <row r="747" ht="12.75" customHeight="1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</row>
    <row r="748" ht="12.75" customHeight="1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</row>
    <row r="749" ht="12.75" customHeight="1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</row>
    <row r="750" ht="12.75" customHeight="1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</row>
    <row r="751" ht="12.75" customHeight="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</row>
    <row r="752" ht="12.75" customHeight="1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</row>
    <row r="753" ht="12.75" customHeight="1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</row>
    <row r="754" ht="12.75" customHeight="1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</row>
    <row r="755" ht="12.75" customHeight="1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</row>
    <row r="756" ht="12.75" customHeight="1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</row>
    <row r="757" ht="12.75" customHeight="1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</row>
    <row r="758" ht="12.75" customHeight="1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</row>
    <row r="759" ht="12.75" customHeight="1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</row>
    <row r="760" ht="12.75" customHeight="1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</row>
    <row r="761" ht="12.75" customHeight="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</row>
    <row r="762" ht="12.75" customHeight="1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</row>
    <row r="763" ht="12.75" customHeight="1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</row>
    <row r="764" ht="12.75" customHeight="1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</row>
    <row r="765" ht="12.75" customHeight="1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</row>
    <row r="766" ht="12.75" customHeight="1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</row>
    <row r="767" ht="12.75" customHeight="1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</row>
    <row r="768" ht="12.75" customHeight="1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</row>
    <row r="769" ht="12.75" customHeight="1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</row>
    <row r="770" ht="12.75" customHeight="1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</row>
    <row r="771" ht="12.75" customHeight="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</row>
    <row r="772" ht="12.75" customHeight="1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</row>
    <row r="773" ht="12.75" customHeight="1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</row>
    <row r="774" ht="12.75" customHeight="1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</row>
    <row r="775" ht="12.75" customHeight="1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</row>
    <row r="776" ht="12.75" customHeight="1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</row>
    <row r="777" ht="12.75" customHeight="1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</row>
    <row r="778" ht="12.75" customHeight="1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</row>
    <row r="779" ht="12.75" customHeight="1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</row>
    <row r="780" ht="12.75" customHeight="1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</row>
    <row r="781" ht="12.75" customHeight="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</row>
    <row r="782" ht="12.75" customHeight="1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</row>
    <row r="783" ht="12.75" customHeight="1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</row>
    <row r="784" ht="12.75" customHeight="1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</row>
    <row r="785" ht="12.75" customHeight="1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</row>
    <row r="786" ht="12.75" customHeight="1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</row>
    <row r="787" ht="12.75" customHeight="1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</row>
    <row r="788" ht="12.75" customHeight="1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</row>
    <row r="789" ht="12.75" customHeight="1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</row>
    <row r="790" ht="12.75" customHeight="1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</row>
    <row r="791" ht="12.75" customHeight="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</row>
    <row r="792" ht="12.75" customHeight="1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</row>
    <row r="793" ht="12.75" customHeight="1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</row>
    <row r="794" ht="12.75" customHeight="1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</row>
    <row r="795" ht="12.75" customHeight="1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</row>
    <row r="796" ht="12.75" customHeight="1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</row>
    <row r="797" ht="12.75" customHeight="1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</row>
    <row r="798" ht="12.75" customHeight="1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</row>
    <row r="799" ht="12.75" customHeight="1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</row>
    <row r="800" ht="12.75" customHeight="1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</row>
    <row r="801" ht="12.75" customHeight="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</row>
    <row r="802" ht="12.75" customHeight="1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</row>
    <row r="803" ht="12.75" customHeight="1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</row>
    <row r="804" ht="12.75" customHeight="1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</row>
    <row r="805" ht="12.75" customHeight="1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</row>
    <row r="806" ht="12.75" customHeight="1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</row>
    <row r="807" ht="12.75" customHeight="1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</row>
    <row r="808" ht="12.75" customHeight="1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</row>
    <row r="809" ht="12.75" customHeight="1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</row>
    <row r="810" ht="12.75" customHeight="1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</row>
    <row r="811" ht="12.75" customHeight="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</row>
    <row r="812" ht="12.75" customHeight="1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</row>
    <row r="813" ht="12.75" customHeight="1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</row>
    <row r="814" ht="12.75" customHeight="1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</row>
    <row r="815" ht="12.75" customHeight="1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</row>
    <row r="816" ht="12.75" customHeight="1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</row>
    <row r="817" ht="12.75" customHeight="1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</row>
    <row r="818" ht="12.75" customHeight="1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</row>
    <row r="819" ht="12.75" customHeight="1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</row>
    <row r="820" ht="12.75" customHeight="1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</row>
    <row r="821" ht="12.75" customHeight="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</row>
    <row r="822" ht="12.75" customHeight="1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</row>
    <row r="823" ht="12.75" customHeight="1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</row>
    <row r="824" ht="12.75" customHeight="1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</row>
    <row r="825" ht="12.75" customHeight="1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</row>
    <row r="826" ht="12.75" customHeight="1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</row>
    <row r="827" ht="12.75" customHeight="1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</row>
    <row r="828" ht="12.75" customHeight="1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</row>
    <row r="829" ht="12.75" customHeight="1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</row>
    <row r="830" ht="12.75" customHeight="1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</row>
    <row r="831" ht="12.75" customHeight="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</row>
    <row r="832" ht="12.75" customHeight="1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</row>
    <row r="833" ht="12.75" customHeight="1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</row>
    <row r="834" ht="12.75" customHeight="1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</row>
    <row r="835" ht="12.75" customHeight="1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</row>
    <row r="836" ht="12.75" customHeight="1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</row>
    <row r="837" ht="12.75" customHeight="1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</row>
    <row r="838" ht="12.75" customHeight="1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</row>
    <row r="839" ht="12.75" customHeight="1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</row>
    <row r="840" ht="12.75" customHeight="1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</row>
    <row r="841" ht="12.75" customHeight="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</row>
    <row r="842" ht="12.75" customHeight="1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</row>
    <row r="843" ht="12.75" customHeight="1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</row>
    <row r="844" ht="12.75" customHeight="1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</row>
    <row r="845" ht="12.75" customHeight="1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</row>
    <row r="846" ht="12.75" customHeight="1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</row>
    <row r="847" ht="12.75" customHeight="1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</row>
    <row r="848" ht="12.75" customHeight="1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</row>
    <row r="849" ht="12.75" customHeight="1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</row>
    <row r="850" ht="12.75" customHeight="1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</row>
    <row r="851" ht="12.75" customHeight="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</row>
    <row r="852" ht="12.75" customHeight="1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</row>
    <row r="853" ht="12.75" customHeight="1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</row>
    <row r="854" ht="12.75" customHeight="1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</row>
    <row r="855" ht="12.75" customHeight="1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</row>
    <row r="856" ht="12.75" customHeight="1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</row>
    <row r="857" ht="12.75" customHeight="1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</row>
    <row r="858" ht="12.75" customHeight="1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</row>
    <row r="859" ht="12.75" customHeight="1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</row>
    <row r="860" ht="12.75" customHeight="1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</row>
    <row r="861" ht="12.75" customHeight="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</row>
    <row r="862" ht="12.75" customHeight="1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</row>
    <row r="863" ht="12.75" customHeight="1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</row>
    <row r="864" ht="12.75" customHeight="1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</row>
    <row r="865" ht="12.75" customHeight="1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</row>
    <row r="866" ht="12.75" customHeight="1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</row>
    <row r="867" ht="12.75" customHeight="1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</row>
    <row r="868" ht="12.75" customHeight="1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</row>
    <row r="869" ht="12.75" customHeight="1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</row>
    <row r="870" ht="12.75" customHeight="1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</row>
    <row r="871" ht="12.75" customHeight="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</row>
    <row r="872" ht="12.75" customHeight="1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</row>
    <row r="873" ht="12.75" customHeight="1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</row>
    <row r="874" ht="12.75" customHeight="1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</row>
    <row r="875" ht="12.75" customHeight="1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</row>
    <row r="876" ht="12.75" customHeight="1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</row>
    <row r="877" ht="12.75" customHeight="1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</row>
    <row r="878" ht="12.75" customHeight="1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</row>
    <row r="879" ht="12.75" customHeight="1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</row>
    <row r="880" ht="12.75" customHeight="1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</row>
    <row r="881" ht="12.75" customHeight="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</row>
    <row r="882" ht="12.75" customHeight="1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</row>
    <row r="883" ht="12.75" customHeight="1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</row>
    <row r="884" ht="12.75" customHeight="1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</row>
    <row r="885" ht="12.75" customHeight="1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</row>
    <row r="886" ht="12.75" customHeight="1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</row>
    <row r="887" ht="12.75" customHeight="1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</row>
    <row r="888" ht="12.75" customHeight="1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</row>
    <row r="889" ht="12.75" customHeight="1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</row>
    <row r="890" ht="12.75" customHeight="1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</row>
    <row r="891" ht="12.75" customHeight="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</row>
    <row r="892" ht="12.75" customHeight="1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</row>
    <row r="893" ht="12.75" customHeight="1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</row>
    <row r="894" ht="12.75" customHeight="1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</row>
    <row r="895" ht="12.75" customHeight="1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</row>
    <row r="896" ht="12.75" customHeight="1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</row>
    <row r="897" ht="12.75" customHeight="1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</row>
    <row r="898" ht="12.75" customHeight="1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</row>
    <row r="899" ht="12.75" customHeight="1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</row>
    <row r="900" ht="12.75" customHeight="1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</row>
    <row r="901" ht="12.75" customHeight="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</row>
    <row r="902" ht="12.75" customHeight="1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</row>
    <row r="903" ht="12.75" customHeight="1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</row>
    <row r="904" ht="12.75" customHeight="1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</row>
    <row r="905" ht="12.75" customHeight="1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</row>
    <row r="906" ht="12.75" customHeight="1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</row>
    <row r="907" ht="12.75" customHeight="1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</row>
    <row r="908" ht="12.75" customHeight="1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</row>
    <row r="909" ht="12.75" customHeight="1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</row>
    <row r="910" ht="12.75" customHeight="1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</row>
    <row r="911" ht="12.75" customHeight="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</row>
    <row r="912" ht="12.75" customHeight="1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</row>
    <row r="913" ht="12.75" customHeight="1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</row>
    <row r="914" ht="12.75" customHeight="1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</row>
    <row r="915" ht="12.75" customHeight="1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</row>
    <row r="916" ht="12.75" customHeight="1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</row>
    <row r="917" ht="12.75" customHeight="1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</row>
    <row r="918" ht="12.75" customHeight="1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</row>
    <row r="919" ht="12.75" customHeight="1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</row>
    <row r="920" ht="12.75" customHeight="1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</row>
    <row r="921" ht="12.75" customHeight="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</row>
    <row r="922" ht="12.75" customHeight="1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</row>
    <row r="923" ht="12.75" customHeight="1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</row>
    <row r="924" ht="12.75" customHeight="1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</row>
    <row r="925" ht="12.75" customHeight="1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</row>
    <row r="926" ht="12.75" customHeight="1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</row>
    <row r="927" ht="12.75" customHeight="1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</row>
    <row r="928" ht="12.75" customHeight="1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</row>
    <row r="929" ht="12.75" customHeight="1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</row>
    <row r="930" ht="12.75" customHeight="1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</row>
    <row r="931" ht="12.75" customHeight="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</row>
    <row r="932" ht="12.75" customHeight="1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</row>
    <row r="933" ht="12.75" customHeight="1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</row>
    <row r="934" ht="12.75" customHeight="1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</row>
    <row r="935" ht="12.75" customHeight="1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</row>
    <row r="936" ht="12.75" customHeight="1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</row>
    <row r="937" ht="12.75" customHeight="1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</row>
    <row r="938" ht="12.75" customHeight="1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</row>
    <row r="939" ht="12.75" customHeight="1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</row>
    <row r="940" ht="12.75" customHeight="1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</row>
    <row r="941" ht="12.75" customHeight="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</row>
    <row r="942" ht="12.75" customHeight="1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</row>
    <row r="943" ht="12.75" customHeight="1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</row>
    <row r="944" ht="12.75" customHeight="1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</row>
    <row r="945" ht="12.75" customHeight="1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</row>
    <row r="946" ht="12.75" customHeight="1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</row>
    <row r="947" ht="12.75" customHeight="1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</row>
    <row r="948" ht="12.75" customHeight="1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</row>
    <row r="949" ht="12.75" customHeight="1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</row>
    <row r="950" ht="12.75" customHeight="1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</row>
    <row r="951" ht="12.75" customHeight="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</row>
    <row r="952" ht="12.75" customHeight="1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</row>
    <row r="953" ht="12.75" customHeight="1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</row>
    <row r="954" ht="12.75" customHeight="1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</row>
    <row r="955" ht="12.75" customHeight="1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</row>
    <row r="956" ht="12.75" customHeight="1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</row>
    <row r="957" ht="12.75" customHeight="1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</row>
    <row r="958" ht="12.75" customHeight="1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</row>
    <row r="959" ht="12.75" customHeight="1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</row>
    <row r="960" ht="12.75" customHeight="1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</row>
    <row r="961" ht="12.75" customHeight="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</row>
    <row r="962" ht="12.75" customHeight="1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</row>
    <row r="963" ht="12.75" customHeight="1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</row>
    <row r="964" ht="12.75" customHeight="1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</row>
    <row r="965" ht="12.75" customHeight="1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</row>
    <row r="966" ht="12.75" customHeight="1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</row>
    <row r="967" ht="12.75" customHeight="1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</row>
    <row r="968" ht="12.75" customHeight="1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</row>
    <row r="969" ht="12.75" customHeight="1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</row>
    <row r="970" ht="12.75" customHeight="1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</row>
    <row r="971" ht="12.75" customHeight="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</row>
    <row r="972" ht="12.75" customHeight="1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</row>
    <row r="973" ht="12.75" customHeight="1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</row>
    <row r="974" ht="12.75" customHeight="1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</row>
    <row r="975" ht="12.75" customHeight="1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</row>
    <row r="976" ht="12.75" customHeight="1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</row>
    <row r="977" ht="12.75" customHeight="1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</row>
    <row r="978" ht="12.75" customHeight="1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</row>
    <row r="979" ht="12.75" customHeight="1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</row>
    <row r="980" ht="12.75" customHeight="1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</row>
    <row r="981" ht="12.75" customHeight="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</row>
    <row r="982" ht="12.75" customHeight="1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</row>
    <row r="983" ht="12.75" customHeight="1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</row>
    <row r="984" ht="12.75" customHeight="1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</row>
    <row r="985" ht="12.75" customHeight="1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</row>
    <row r="986" ht="12.75" customHeight="1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</row>
    <row r="987" ht="12.75" customHeight="1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</row>
    <row r="988" ht="12.75" customHeight="1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</row>
    <row r="989" ht="12.75" customHeight="1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</row>
    <row r="990" ht="12.75" customHeight="1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</row>
    <row r="991" ht="12.75" customHeight="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</row>
    <row r="992" ht="12.75" customHeight="1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</row>
    <row r="993" ht="12.75" customHeight="1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</row>
    <row r="994" ht="12.75" customHeight="1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</row>
    <row r="995" ht="12.75" customHeight="1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</row>
    <row r="996" ht="12.75" customHeight="1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</row>
    <row r="997" ht="12.75" customHeight="1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</row>
    <row r="998" ht="12.75" customHeight="1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</row>
    <row r="999" ht="12.75" customHeight="1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</row>
    <row r="1000" ht="12.75" customHeight="1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</row>
  </sheetData>
  <mergeCells count="9">
    <mergeCell ref="AG26:AI26"/>
    <mergeCell ref="AK26:AM28"/>
    <mergeCell ref="B3:C3"/>
    <mergeCell ref="B26:B28"/>
    <mergeCell ref="C26:C28"/>
    <mergeCell ref="E26:K26"/>
    <mergeCell ref="L26:R26"/>
    <mergeCell ref="S26:Y26"/>
    <mergeCell ref="Z26:AF26"/>
  </mergeCells>
  <printOptions/>
  <pageMargins bottom="0.75" footer="0.0" header="0.0" left="0.7" right="0.7" top="0.75"/>
  <pageSetup orientation="portrait"/>
  <drawing r:id="rId1"/>
</worksheet>
</file>